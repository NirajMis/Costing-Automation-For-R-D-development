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yjaisingh/Desktop/price revisions/august 2026 cost working with AI /by080 well glass/"/>
    </mc:Choice>
  </mc:AlternateContent>
  <xr:revisionPtr revIDLastSave="0" documentId="13_ncr:1_{1D87AC4C-EDBF-3B4F-B703-81C825413C67}" xr6:coauthVersionLast="47" xr6:coauthVersionMax="47" xr10:uidLastSave="{00000000-0000-0000-0000-000000000000}"/>
  <bookViews>
    <workbookView xWindow="1100" yWindow="900" windowWidth="28040" windowHeight="16900" firstSheet="6" activeTab="18" xr2:uid="{1E773279-B930-B443-97D4-31ABA429F0CB}"/>
  </bookViews>
  <sheets>
    <sheet name="summary" sheetId="4" r:id="rId1"/>
    <sheet name="housin" sheetId="18" r:id="rId2"/>
    <sheet name="30403007" sheetId="1" r:id="rId3"/>
    <sheet name="20603194" sheetId="2" r:id="rId4"/>
    <sheet name="20503168" sheetId="19" r:id="rId5"/>
    <sheet name="20405402" sheetId="3" r:id="rId6"/>
    <sheet name="20203354" sheetId="5" r:id="rId7"/>
    <sheet name="20102629" sheetId="6" r:id="rId8"/>
    <sheet name="30403006" sheetId="7" r:id="rId9"/>
    <sheet name="20603160" sheetId="8" r:id="rId10"/>
    <sheet name="20601106" sheetId="21" r:id="rId11"/>
    <sheet name="20503169" sheetId="20" r:id="rId12"/>
    <sheet name="20405376" sheetId="9" r:id="rId13"/>
    <sheet name="30403003" sheetId="10" r:id="rId14"/>
    <sheet name="20603159" sheetId="11" r:id="rId15"/>
    <sheet name="30403002" sheetId="12" r:id="rId16"/>
    <sheet name="20603169" sheetId="14" r:id="rId17"/>
    <sheet name="30403001" sheetId="16" r:id="rId18"/>
    <sheet name="20603168" sheetId="17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1" i="18" l="1"/>
  <c r="K22" i="18" s="1"/>
  <c r="G21" i="18"/>
  <c r="G22" i="18" s="1"/>
  <c r="G15" i="18"/>
  <c r="H15" i="18" s="1"/>
  <c r="L15" i="18" s="1"/>
  <c r="F14" i="18"/>
  <c r="G14" i="18" s="1"/>
  <c r="H14" i="18" s="1"/>
  <c r="L14" i="18" s="1"/>
  <c r="E10" i="18"/>
  <c r="R9" i="18"/>
  <c r="O9" i="18"/>
  <c r="P9" i="18" s="1"/>
  <c r="N9" i="18"/>
  <c r="F9" i="18"/>
  <c r="G9" i="18" s="1"/>
  <c r="H9" i="18" s="1"/>
  <c r="K9" i="18" s="1"/>
  <c r="F10" i="18" s="1"/>
  <c r="S9" i="18" l="1"/>
</calcChain>
</file>

<file path=xl/sharedStrings.xml><?xml version="1.0" encoding="utf-8"?>
<sst xmlns="http://schemas.openxmlformats.org/spreadsheetml/2006/main" count="3349" uniqueCount="452">
  <si>
    <t>Type</t>
  </si>
  <si>
    <t>No.</t>
  </si>
  <si>
    <t>Description</t>
  </si>
  <si>
    <t>Quantity</t>
  </si>
  <si>
    <t>UoM Name</t>
  </si>
  <si>
    <t>Position</t>
  </si>
  <si>
    <t>Warehouse</t>
  </si>
  <si>
    <t>Price List</t>
  </si>
  <si>
    <t>Unit Price</t>
  </si>
  <si>
    <t>Total</t>
  </si>
  <si>
    <t>WIP Account</t>
  </si>
  <si>
    <t>Route Sequence</t>
  </si>
  <si>
    <t>Alternate Item 1</t>
  </si>
  <si>
    <t>Quantity Alt 1</t>
  </si>
  <si>
    <t>Alternate Item 2</t>
  </si>
  <si>
    <t>Quantity Alt 2</t>
  </si>
  <si>
    <t>Manufacturer</t>
  </si>
  <si>
    <t>Item</t>
  </si>
  <si>
    <t>MI_DRVR_WELL GLASS_30-40V_860mA_36W_MT7939 (W/O) SPD-1MTR</t>
  </si>
  <si>
    <t>NOS</t>
  </si>
  <si>
    <t>DRIVER</t>
  </si>
  <si>
    <t>MSTR</t>
  </si>
  <si>
    <t>Last Purchase Price</t>
  </si>
  <si>
    <t>LBRD WG 36W 48L 5.7K</t>
  </si>
  <si>
    <t>LED ENGINE</t>
  </si>
  <si>
    <t>INR 38.4189</t>
  </si>
  <si>
    <t>WG PDC HSG-36W-40W-GRY RAL-7011</t>
  </si>
  <si>
    <t>HOUSING</t>
  </si>
  <si>
    <t>INR 102.2000</t>
  </si>
  <si>
    <t>THERMAL-PASTE-MAXTOR-3TC-3204</t>
  </si>
  <si>
    <t>KGS</t>
  </si>
  <si>
    <t>FOR PCB &amp; CASTING</t>
  </si>
  <si>
    <t>INR 4,000.0000</t>
  </si>
  <si>
    <t>INR 4.0000</t>
  </si>
  <si>
    <t>TESTED-OK-STKR</t>
  </si>
  <si>
    <t>TESTED OK</t>
  </si>
  <si>
    <t>INR 0.2300</t>
  </si>
  <si>
    <t>SILVER-STICKER-PAPER-NON-TEARABLE-12"X18"</t>
  </si>
  <si>
    <t>PACKAGING</t>
  </si>
  <si>
    <t>INR 17.0000</t>
  </si>
  <si>
    <t>INR 0.3740</t>
  </si>
  <si>
    <t>PLAIN-PAPER-A4-SIZE</t>
  </si>
  <si>
    <t>IM SHEET</t>
  </si>
  <si>
    <t>INR 0.5200</t>
  </si>
  <si>
    <t>STICKER-PAPER-12X18 INCH</t>
  </si>
  <si>
    <t>INR 13.0000</t>
  </si>
  <si>
    <t>INR 3.2500</t>
  </si>
  <si>
    <t>SOLDER-WIRE-99.3/0.7-0.9mm-ROHs</t>
  </si>
  <si>
    <t>FOR DC SOLDERING</t>
  </si>
  <si>
    <t>INR 6,288.0000</t>
  </si>
  <si>
    <t>INR 0.6288</t>
  </si>
  <si>
    <t>NYLON-CABLE-GLAND-PG7-ID-8.5MM-HT-10MM-WITH-WASHER-W/O NUT POWER CONNECT-BLK</t>
  </si>
  <si>
    <t>HSG(DC CABLE ENTRY)</t>
  </si>
  <si>
    <t>INR 2.9000</t>
  </si>
  <si>
    <t>WG PC DIFFUSER-36W- 40W</t>
  </si>
  <si>
    <t>DIFFUSER</t>
  </si>
  <si>
    <t>INR 11.2800</t>
  </si>
  <si>
    <t>CORRUGATED-DIFFUSER HOLDER-WG-36W-40W-3PLY</t>
  </si>
  <si>
    <t>INR 2.0500</t>
  </si>
  <si>
    <t>INNER-CARTON-WG-36W-40W-3PLY</t>
  </si>
  <si>
    <t>INR 5.9000</t>
  </si>
  <si>
    <t>MASTER-CARTON-WG-36W-40W-5PLY</t>
  </si>
  <si>
    <t>INR 40.5000</t>
  </si>
  <si>
    <t>INR 3.3737</t>
  </si>
  <si>
    <t>SS-PAN-COMB-WITH-WASHER-SCREW-M3X8(304)</t>
  </si>
  <si>
    <t>6-DIFFUSER, 4-DRIVER BOX, &amp; 1-EARTHING</t>
  </si>
  <si>
    <t>INR 0.3500</t>
  </si>
  <si>
    <t>INR 3.8500</t>
  </si>
  <si>
    <t>QR CODE-RD-15MM</t>
  </si>
  <si>
    <t>WATTAGE STICKER</t>
  </si>
  <si>
    <t>INR 0.2000</t>
  </si>
  <si>
    <t>ECL PACKING TAPE 2"</t>
  </si>
  <si>
    <t>MTR</t>
  </si>
  <si>
    <t>INR 0.7843</t>
  </si>
  <si>
    <t>INR 1.1765</t>
  </si>
  <si>
    <t>PLAIN STICKER 40X15MM</t>
  </si>
  <si>
    <t>ATS STICKER</t>
  </si>
  <si>
    <t>INR 0.1500</t>
  </si>
  <si>
    <t>NON TEARABLE STICKER 15X23MM</t>
  </si>
  <si>
    <t>QR STICKER</t>
  </si>
  <si>
    <t>INR 0.4500</t>
  </si>
  <si>
    <t>NON TEARABLE STICKER 38X25MM</t>
  </si>
  <si>
    <t>INR 0.4000</t>
  </si>
  <si>
    <t>INR 0.8000</t>
  </si>
  <si>
    <t>POLYBAG-8"X8"-50µ</t>
  </si>
  <si>
    <t>POLYBAG-4"X7"-50µ</t>
  </si>
  <si>
    <t>For eye bolt packing</t>
  </si>
  <si>
    <t>INR 0.5800</t>
  </si>
  <si>
    <t>WG SILICON DIFFUSER GASKET-36W- 40W</t>
  </si>
  <si>
    <t>DIFFUSER GASKET</t>
  </si>
  <si>
    <t>INR 4.5000</t>
  </si>
  <si>
    <t>ANTI-VIBRATION-RUBBER-12MMX37MM-BLACK</t>
  </si>
  <si>
    <t>For Eye Bolt</t>
  </si>
  <si>
    <t>INR 2.2500</t>
  </si>
  <si>
    <t>SS-WASHER-STAR-M4(304)</t>
  </si>
  <si>
    <t>EARTHING</t>
  </si>
  <si>
    <t>SS-PAN-COMB-WITH-WASHER-SCREW-M3X6(304)</t>
  </si>
  <si>
    <t>PCB FIXING</t>
  </si>
  <si>
    <t>INR 1.4000</t>
  </si>
  <si>
    <t>SS-HEX-NUT-M6</t>
  </si>
  <si>
    <t>Eye Bolt Locking</t>
  </si>
  <si>
    <t>INR 0.4800</t>
  </si>
  <si>
    <t>PRO-70W-MS-EYE-BOLT-WITH-NUT-M6X52</t>
  </si>
  <si>
    <t>For Hanging</t>
  </si>
  <si>
    <t>INR 6.3000</t>
  </si>
  <si>
    <t>RES-CHIP-1206-10K-0.25W-5%-T&amp;R</t>
  </si>
  <si>
    <t>R8, R12</t>
  </si>
  <si>
    <t>PRDSMT2</t>
  </si>
  <si>
    <t>INR 0.0750</t>
  </si>
  <si>
    <t>WATTS/WALSIN/ YAGEO/ ROYAL OHMS</t>
  </si>
  <si>
    <t>RES-CHIP-1206-20E-0.25W-5%-T&amp;R</t>
  </si>
  <si>
    <t>R10</t>
  </si>
  <si>
    <t>RES-CHIP-1206-56K-0.25W-5%-T&amp;R</t>
  </si>
  <si>
    <t>R11</t>
  </si>
  <si>
    <t>RES-CHIP-1206-150E-0.25W-5%-T&amp;R</t>
  </si>
  <si>
    <t>R13</t>
  </si>
  <si>
    <t>RES-CHIP-1206-470K-0.25W-5%-T&amp;R</t>
  </si>
  <si>
    <t>R14 TO R17</t>
  </si>
  <si>
    <t>INR 0.0850</t>
  </si>
  <si>
    <t>INR 0.3400</t>
  </si>
  <si>
    <t>RES-CHIP-1206-10E-0.25W-5%-T&amp;R</t>
  </si>
  <si>
    <t>R18</t>
  </si>
  <si>
    <t>RES-CHIP-1206-240K-0.25W-5%-T&amp;R</t>
  </si>
  <si>
    <t>R20,R21</t>
  </si>
  <si>
    <t>INR 0.0800</t>
  </si>
  <si>
    <t>INR 0.1600</t>
  </si>
  <si>
    <t>RES-CHIP-1206-510K-0.25W-5%-T&amp;R</t>
  </si>
  <si>
    <t>R22, R23</t>
  </si>
  <si>
    <t>RES-CHIP-1206-15K-0.25W-5%-T&amp;R</t>
  </si>
  <si>
    <t>R24</t>
  </si>
  <si>
    <t>RES-CHIP-1206-82K-0.25W-5%-T&amp;R</t>
  </si>
  <si>
    <t>R25,R26,R27</t>
  </si>
  <si>
    <t>INR 0.2250</t>
  </si>
  <si>
    <t>RES-CHIP-1206-4K7-0.25W-5%-T&amp;R</t>
  </si>
  <si>
    <t>R28</t>
  </si>
  <si>
    <t>CAP.X7R-CHIP-1206-1nF-50V-20%-T&amp;R</t>
  </si>
  <si>
    <t>C8</t>
  </si>
  <si>
    <t>INR 0.5500</t>
  </si>
  <si>
    <t>CCTC/WALSIN/ YAGEO/ ROYAL OHMS</t>
  </si>
  <si>
    <t>CAP.NPO-CHIP-1206-22pF-50V-20%-T&amp;R</t>
  </si>
  <si>
    <t>C9</t>
  </si>
  <si>
    <t>INR 0.6000</t>
  </si>
  <si>
    <t>CAP.X7R-CHIP-1206-100nF-50V-20%-T&amp;R</t>
  </si>
  <si>
    <t>C10</t>
  </si>
  <si>
    <t>IC-MT7939-MAXICI-SOIC8-C2</t>
  </si>
  <si>
    <t>U1</t>
  </si>
  <si>
    <t>INR 5.3500</t>
  </si>
  <si>
    <t>MAXIC</t>
  </si>
  <si>
    <t>DI-GP-SMC (DO214AB)-3A-600V-ES3J-T&amp;R-YJ</t>
  </si>
  <si>
    <t>D1, D2</t>
  </si>
  <si>
    <t>INR 2.7800</t>
  </si>
  <si>
    <t>INR 5.5600</t>
  </si>
  <si>
    <t>YJ/ GOODARK/ SIYU/ HORN BAY</t>
  </si>
  <si>
    <t>DI-FR-SMA (DO214AC)-1A-1000V-RS1M-T&amp;R-GW/GK</t>
  </si>
  <si>
    <t>D3, D4</t>
  </si>
  <si>
    <t>INR 0.2900</t>
  </si>
  <si>
    <t>DI-GP-SOD80 (MiniMELF;DO213AA)-300mA-100V-LL4148-T&amp;R-NEXPERIA</t>
  </si>
  <si>
    <t>D6</t>
  </si>
  <si>
    <t>INR 0.3700</t>
  </si>
  <si>
    <t>BR-GP-ABS(LBF)-2A-1000V-ABS210-T&amp;R</t>
  </si>
  <si>
    <t>BR</t>
  </si>
  <si>
    <t>INR 1.5500</t>
  </si>
  <si>
    <t>SMT-GLUE-SE8307-2</t>
  </si>
  <si>
    <t>GMS</t>
  </si>
  <si>
    <t>INR 8.0000</t>
  </si>
  <si>
    <t>INR 0.0160</t>
  </si>
  <si>
    <t>DRVR-PCB  JI-40W-WG-MX-R0 (CEM1, 1.6mm, 90x37)</t>
  </si>
  <si>
    <t>INR 9.4000</t>
  </si>
  <si>
    <t>RES-CHIP-1206-2E7-0.25W-5%-T&amp;R</t>
  </si>
  <si>
    <t>R1, R2, R3</t>
  </si>
  <si>
    <t>INR 0.1000</t>
  </si>
  <si>
    <t>INR 0.3000</t>
  </si>
  <si>
    <t>RES-CHIP-1206-2E2-0.25W-1%-T&amp;R</t>
  </si>
  <si>
    <t>R4</t>
  </si>
  <si>
    <t>INR 0.1200</t>
  </si>
  <si>
    <t>RES-CHIP-1206-100E-0.25W-5%-T&amp;R</t>
  </si>
  <si>
    <t>R7,R9</t>
  </si>
  <si>
    <t>RES-CHIP-1206-33E-0.25W-5%-T&amp;R</t>
  </si>
  <si>
    <t>R13A</t>
  </si>
  <si>
    <t>RES-CHIP-1206-0E-0.25W-5%-T&amp;R</t>
  </si>
  <si>
    <t>R5</t>
  </si>
  <si>
    <t>DI-UF-SMA (DO214AB)-1A-600V-ES1J-T&amp;R-MIC</t>
  </si>
  <si>
    <t>D5</t>
  </si>
  <si>
    <t>21st Century Metals LLP</t>
  </si>
  <si>
    <t>AI_DRVR_WELL GLASS_30-40V_860mA_35W_MT7939</t>
  </si>
  <si>
    <t>PRDDRV2</t>
  </si>
  <si>
    <t>INR 3.9000</t>
  </si>
  <si>
    <t>RES-WW-FUSIBLE-4.5KV-AXIAL-4E7-3W-5%-BEND LEAD-AMMO</t>
  </si>
  <si>
    <t>F1, R29</t>
  </si>
  <si>
    <t>INR 1.9000</t>
  </si>
  <si>
    <t>INR 3.8000</t>
  </si>
  <si>
    <t>CAP-WEIDY-SF.X2-BOX(P10)-100nF-310VAC-10%-Bulk</t>
  </si>
  <si>
    <t>C1</t>
  </si>
  <si>
    <t>INR 1.1000</t>
  </si>
  <si>
    <t>CAP-WEIDY-SF.X2-BOX(P10)-220nF-310VAC-10%-Bulk</t>
  </si>
  <si>
    <t>C2</t>
  </si>
  <si>
    <t>INR 1.9500</t>
  </si>
  <si>
    <t>CAP-WEIDY-CER-Disc(P5)-2.2nF-1KV-20%-Bulk</t>
  </si>
  <si>
    <t>C3</t>
  </si>
  <si>
    <t>CAP-WEIDY-SF.Y1-DIP(P10)-2.2nF-500VAC-10%-Bulk</t>
  </si>
  <si>
    <t>C4</t>
  </si>
  <si>
    <t>INR 1.0500</t>
  </si>
  <si>
    <t>CAP-JWCO-HGD SERIES 5000-8000HRS-5x11(P2)-10uF-50V/63V-20%-Bulk</t>
  </si>
  <si>
    <t>C5</t>
  </si>
  <si>
    <t>EL.CAP-JWCO-HGD SERIES 5000-8000HRS-13X21(P5)-680uF-50V-20%-Bulk</t>
  </si>
  <si>
    <t>C6</t>
  </si>
  <si>
    <t>INR 5.5000</t>
  </si>
  <si>
    <t>CAP-JWCO-HGD SERIES 5000-8000HRS-10x17(P5)-220uF-63V-20%-Bulk</t>
  </si>
  <si>
    <t>C7</t>
  </si>
  <si>
    <t>INR 2.3500</t>
  </si>
  <si>
    <t>MOV-14D-395V-P10mm-TVR TVR14621KSUD2Y -Bulk</t>
  </si>
  <si>
    <t>MOV1</t>
  </si>
  <si>
    <t>INR 3.7500</t>
  </si>
  <si>
    <t>MOV-10D-395V-P5mm-TVR10621KSY-Bulk</t>
  </si>
  <si>
    <t>MOV2</t>
  </si>
  <si>
    <t>MOV-10D-320V-STD-P7.5mm-TVR10511KSY-Bulk</t>
  </si>
  <si>
    <t>MOV3, MOV4</t>
  </si>
  <si>
    <t>INR 2.1500</t>
  </si>
  <si>
    <t>INR 4.3000</t>
  </si>
  <si>
    <t>FET-N-CH-TO220F-10A-800V-10N80G/L-TF3-T-Tube-UTC</t>
  </si>
  <si>
    <t>Q1</t>
  </si>
  <si>
    <t>INR 17.5000</t>
  </si>
  <si>
    <t>IND-RAD-10x12(P5)-2mH-10%-Bulk</t>
  </si>
  <si>
    <t>LF</t>
  </si>
  <si>
    <t>INR 4.8000</t>
  </si>
  <si>
    <t>TRX-EFD25*12*7-HZ(5+5)-0.625mH-36V-10%-Tray</t>
  </si>
  <si>
    <t>TX</t>
  </si>
  <si>
    <t>INR 27.3500</t>
  </si>
  <si>
    <t>CABLE-RUBBER-BLISS-3CX1sq.mm-BLK(RED/BLK/YG)-1100V</t>
  </si>
  <si>
    <t>SLEEVE REMOVAL-195MM ON ONE SIDE &amp; 35MM ON ANOTHER</t>
  </si>
  <si>
    <t>INR 48.2000</t>
  </si>
  <si>
    <t>CABLE-PVC-SUN-KABEL-2Cx0.75sq.mm-BLK(RED/BLK)</t>
  </si>
  <si>
    <t>R, B</t>
  </si>
  <si>
    <t>INR 21.8000</t>
  </si>
  <si>
    <t>INR 4.3600</t>
  </si>
  <si>
    <t>WG PC MOULD DRVR &amp; SPD-BOX-35W-40W-RAL-7011</t>
  </si>
  <si>
    <t>INR 22.0800</t>
  </si>
  <si>
    <t>ENCAPSULANT-SILICON-KOOLTHERM-WHT-PT-701-A</t>
  </si>
  <si>
    <t>INR 180.0000</t>
  </si>
  <si>
    <t>INR 11.7000</t>
  </si>
  <si>
    <t>ENCAPSULANT-SILICON-KOOLTHERM-BLK-PT-701-B</t>
  </si>
  <si>
    <t>SOLDER-BAR-ROHS-SCNG/SNG</t>
  </si>
  <si>
    <t>INR 6,162.0000</t>
  </si>
  <si>
    <t>INR 9.2430</t>
  </si>
  <si>
    <t>INR 9.4320</t>
  </si>
  <si>
    <t>NO CLEAN FLUX 2CARBOUY JF-927 PAI</t>
  </si>
  <si>
    <t>LTR</t>
  </si>
  <si>
    <t>INR 265.0000</t>
  </si>
  <si>
    <t>INR 0.2650</t>
  </si>
  <si>
    <t>NO-CLEAN-FLUX-RF800-ALPHA</t>
  </si>
  <si>
    <t>INR 210.0000</t>
  </si>
  <si>
    <t>INR 0.2100</t>
  </si>
  <si>
    <t>JI-HSNK-25W-15X10X20MM</t>
  </si>
  <si>
    <t>SS-PAN-COMB-WITH-WASHER-SCREW-M3x6</t>
  </si>
  <si>
    <t>INR 0.2800</t>
  </si>
  <si>
    <t>THERMAL-PASTE-PIDITHERM-1TC-TG4010</t>
  </si>
  <si>
    <t>INR 462.0000</t>
  </si>
  <si>
    <t>INR 0.4620</t>
  </si>
  <si>
    <t>WIRE-PVC-EARTHING-0.75SQ.MM-YL/GRN-WITH-LUG-150MM</t>
  </si>
  <si>
    <t>INR 2.9200</t>
  </si>
  <si>
    <t>LED-BRG-2835-1W-5700K-120mA-80-145-155-9V-T&amp;R</t>
  </si>
  <si>
    <t>NO LED ON L10, L12, L14, L25, L27, L29, L32, L34, L36, L47, L49, L51</t>
  </si>
  <si>
    <t>INR 24.9600</t>
  </si>
  <si>
    <t>MPCB-JI-WG-2835-4S15P-60L-Ø62MM-R0</t>
  </si>
  <si>
    <t>INR 14.2000</t>
  </si>
  <si>
    <t>NC-SOLDER-PASTE-LEAD-FREE-PF-609-P-20-38-T3</t>
  </si>
  <si>
    <t>INR 7,013.0000</t>
  </si>
  <si>
    <t>INR 7.0130</t>
  </si>
  <si>
    <t>INR 0.2500</t>
  </si>
  <si>
    <t>WG PDC HSG 40W DRL/TAP</t>
  </si>
  <si>
    <t>Subcon</t>
  </si>
  <si>
    <t>WG PDC HSG 40W BARE</t>
  </si>
  <si>
    <t>MI_DRVR_WELL GLASS_30-40V_980mA_40W_MT7939</t>
  </si>
  <si>
    <t>INR 255.3933</t>
  </si>
  <si>
    <t>INR 7.7000</t>
  </si>
  <si>
    <t>INR 6.3700</t>
  </si>
  <si>
    <t>INR 5,398.0000</t>
  </si>
  <si>
    <t>INR 0.5398</t>
  </si>
  <si>
    <t>LBRD WG 40W 60L 5.7K</t>
  </si>
  <si>
    <t>INR 43.1406</t>
  </si>
  <si>
    <t>INR 5.7000</t>
  </si>
  <si>
    <t>INR 1.6000</t>
  </si>
  <si>
    <t>PACKING</t>
  </si>
  <si>
    <t>R20, R21</t>
  </si>
  <si>
    <t>INR 0.3600</t>
  </si>
  <si>
    <t>DRVR-PCB-JI-SPD-R1-10KV</t>
  </si>
  <si>
    <t>BPL/DHAN LAMINATS/PURSUE TECK/EI/SIGMA</t>
  </si>
  <si>
    <t>MOV-20D-275V-P10mm-TVR20431KSU22Y-Bulk</t>
  </si>
  <si>
    <t>INR 8.1423</t>
  </si>
  <si>
    <t>THINKING</t>
  </si>
  <si>
    <t>GDT-8D-800V-GD82R800-Bulk</t>
  </si>
  <si>
    <t>GDT1</t>
  </si>
  <si>
    <t>INR 9.0000</t>
  </si>
  <si>
    <t>GDT-6D-600V-GD52R600-Bulk</t>
  </si>
  <si>
    <t>GDT2</t>
  </si>
  <si>
    <t>FUSE-STD-AXIAL-GLASS(3.6X10)-SLOW BLOW-15A-250VAC-**-T&amp;R</t>
  </si>
  <si>
    <t>FUSE</t>
  </si>
  <si>
    <t>INR 6.0000</t>
  </si>
  <si>
    <t>PROTECTRON, XC, SCHURTURE</t>
  </si>
  <si>
    <t>INR 3,590.0000</t>
  </si>
  <si>
    <t>INR 5.3850</t>
  </si>
  <si>
    <t>PAI</t>
  </si>
  <si>
    <t>CONFORMAL-COATING</t>
  </si>
  <si>
    <t>ML</t>
  </si>
  <si>
    <t>INR 0.6741</t>
  </si>
  <si>
    <t>INR 0.0007</t>
  </si>
  <si>
    <t>ACRYCOAT</t>
  </si>
  <si>
    <t>IPA</t>
  </si>
  <si>
    <t>INR 200.0000</t>
  </si>
  <si>
    <t>INR 39.5438</t>
  </si>
  <si>
    <t>INR 13.8403</t>
  </si>
  <si>
    <t>MI-SPD-R1-10KV-OPEN FRAME</t>
  </si>
  <si>
    <t>INR 62.2084</t>
  </si>
  <si>
    <t>AI_DRVR_WELL GLASS_30-40V_980mA_40W_MT7939</t>
  </si>
  <si>
    <t>INR 26.6668</t>
  </si>
  <si>
    <t>INR 206.0000</t>
  </si>
  <si>
    <t>INR 0.3090</t>
  </si>
  <si>
    <t>INR 185.0000</t>
  </si>
  <si>
    <t>INR 19.6100</t>
  </si>
  <si>
    <t>KOOLTHERM/ MAXTOR/ FIRST SEAL</t>
  </si>
  <si>
    <t>INR 4.6200</t>
  </si>
  <si>
    <t>KHANNA</t>
  </si>
  <si>
    <t>INR 3,383.0000</t>
  </si>
  <si>
    <t>INR 5.0745</t>
  </si>
  <si>
    <t>CABLE ENTRY</t>
  </si>
  <si>
    <t>INR 21.6800</t>
  </si>
  <si>
    <t>WIRE-PVC-FR-1Cx0.75SQMM-YL/GRN-1100V</t>
  </si>
  <si>
    <t>INR 8.5400</t>
  </si>
  <si>
    <t>INR 0.8540</t>
  </si>
  <si>
    <t>WIRE-PVC-FR-1Cx0.75SQMM-GREY-1100V</t>
  </si>
  <si>
    <t>INR 17.1000</t>
  </si>
  <si>
    <t>INR 3.4200</t>
  </si>
  <si>
    <t>SUN KABLE/ BHARAT WIRE/ TECHNO</t>
  </si>
  <si>
    <t>WIRE-PVC-FR-1Cx0.75SQMM-BLUE-1100V</t>
  </si>
  <si>
    <t>INR 2.2781</t>
  </si>
  <si>
    <t>NRJEE/ KM/ SHRJEEJI</t>
  </si>
  <si>
    <t>INR 4.1000</t>
  </si>
  <si>
    <t>DASSANI/ NRJEE</t>
  </si>
  <si>
    <t>TVR/ FTR/ WPI/ BRIGHTKING</t>
  </si>
  <si>
    <t>INR 3.3500</t>
  </si>
  <si>
    <t>MOV3,MOV4</t>
  </si>
  <si>
    <t>INR 17.5500</t>
  </si>
  <si>
    <t>UTC/ SILAN</t>
  </si>
  <si>
    <t>JWCO/ SANCON/ AXBOOM/ AISHI</t>
  </si>
  <si>
    <t>INR 0.8500</t>
  </si>
  <si>
    <t>WEIDY/HAUDY</t>
  </si>
  <si>
    <t>WEIDY/ DESAI/ DEKI/ GDHM</t>
  </si>
  <si>
    <t>INR 1.0200</t>
  </si>
  <si>
    <t>WEIDY/ DEKI/ GDHY</t>
  </si>
  <si>
    <t>INR 0.3800</t>
  </si>
  <si>
    <t>INR 0.4100</t>
  </si>
  <si>
    <t>R29, F1</t>
  </si>
  <si>
    <t>INR 2.0736</t>
  </si>
  <si>
    <t>INR 4.1472</t>
  </si>
  <si>
    <t>INR 31.2000</t>
  </si>
  <si>
    <t>MI_DRVR_WELL GLASS_30-40V_860mA_36W_MT7939</t>
  </si>
  <si>
    <t>INR 297.6466</t>
  </si>
  <si>
    <t>INR 85.6700</t>
  </si>
  <si>
    <t>INR 37.5000</t>
  </si>
  <si>
    <t>INR 3.1238</t>
  </si>
  <si>
    <t>INR 0.6500</t>
  </si>
  <si>
    <t>INR 2.6000</t>
  </si>
  <si>
    <t>INR 0.5400</t>
  </si>
  <si>
    <t>INR 5,394.0000</t>
  </si>
  <si>
    <t>INR 0.5394</t>
  </si>
  <si>
    <t>INR 36.8286</t>
  </si>
  <si>
    <t>INR 24.6463</t>
  </si>
  <si>
    <t>INR 0.9600</t>
  </si>
  <si>
    <t>INR 1.7500</t>
  </si>
  <si>
    <t>INR 0.8800</t>
  </si>
  <si>
    <t>INR 0.5000</t>
  </si>
  <si>
    <t>INR 4.4000</t>
  </si>
  <si>
    <t>INR 18.2500</t>
  </si>
  <si>
    <t>INR 3.6500</t>
  </si>
  <si>
    <t>INR 19.0800</t>
  </si>
  <si>
    <t>INR 3,980.0000</t>
  </si>
  <si>
    <t>INR 5.9700</t>
  </si>
  <si>
    <t>INR 4,050.0000</t>
  </si>
  <si>
    <t>INR 6.0750</t>
  </si>
  <si>
    <t>R29,F1</t>
  </si>
  <si>
    <t>E</t>
  </si>
  <si>
    <t>INR 2.2400</t>
  </si>
  <si>
    <t>INR 16.9500</t>
  </si>
  <si>
    <t>MI_DRVR_WELL GLASS_30-40V_980mA_40W_MT7939 (W/O) SPD</t>
  </si>
  <si>
    <t>INR 177.7428</t>
  </si>
  <si>
    <t>INR 327.5800</t>
  </si>
  <si>
    <t>INR 84.2000</t>
  </si>
  <si>
    <t>INR 4,450.0000</t>
  </si>
  <si>
    <t>INR 0.4450</t>
  </si>
  <si>
    <t>INR 1.2000</t>
  </si>
  <si>
    <t>WATTS/ THAKOR/ TAI OHM</t>
  </si>
  <si>
    <t>INR 0.9500</t>
  </si>
  <si>
    <t>INR 0.3900</t>
  </si>
  <si>
    <t>INR 0.4200</t>
  </si>
  <si>
    <t>INR 2.5000</t>
  </si>
  <si>
    <t>INR 4.7000</t>
  </si>
  <si>
    <t>INR 44.1600</t>
  </si>
  <si>
    <t>INR 15.4560</t>
  </si>
  <si>
    <t>INR 19.9000</t>
  </si>
  <si>
    <t>INR 3.9800</t>
  </si>
  <si>
    <t>INR 17.4100</t>
  </si>
  <si>
    <t>INR 6.6750</t>
  </si>
  <si>
    <t>INR 2.8500</t>
  </si>
  <si>
    <t>MI_DRVR_WELL GLASS_30-40V_860mA_36W_MT7939 (W/O) SPD</t>
  </si>
  <si>
    <t>INR 195.7407</t>
  </si>
  <si>
    <t>INR 38.4698</t>
  </si>
  <si>
    <t>INR 320.0000</t>
  </si>
  <si>
    <t>INR 0.3200</t>
  </si>
  <si>
    <t>INR 143.6268</t>
  </si>
  <si>
    <t>Particulars</t>
  </si>
  <si>
    <t xml:space="preserve">ADC12 </t>
  </si>
  <si>
    <t>MELTING LOSS</t>
  </si>
  <si>
    <t>Driling charges /hole</t>
  </si>
  <si>
    <t>Taping charges /hole</t>
  </si>
  <si>
    <t>Powder coating</t>
  </si>
  <si>
    <t>kovestro</t>
  </si>
  <si>
    <t>runner</t>
  </si>
  <si>
    <t xml:space="preserve">Rate </t>
  </si>
  <si>
    <t>Rate virgin</t>
  </si>
  <si>
    <t>Rate opaque</t>
  </si>
  <si>
    <t>Sr No</t>
  </si>
  <si>
    <t>12NC/Ji Code</t>
  </si>
  <si>
    <t>PDC COST BREAKUP</t>
  </si>
  <si>
    <t>Machining Cost Breakup</t>
  </si>
  <si>
    <t>Weight(kg)</t>
  </si>
  <si>
    <t>Melting Loss(kg)</t>
  </si>
  <si>
    <t>Chargeble Weight (kg)</t>
  </si>
  <si>
    <t>Cost of bare housing / nos</t>
  </si>
  <si>
    <t>shot charges/nos</t>
  </si>
  <si>
    <t>Fetling &amp; Grinding/ Nos</t>
  </si>
  <si>
    <t xml:space="preserve">Pdc cost/ piece </t>
  </si>
  <si>
    <t>Number of Drill hole</t>
  </si>
  <si>
    <t>Number of Tap</t>
  </si>
  <si>
    <t>Driling cost</t>
  </si>
  <si>
    <t>Taping cost</t>
  </si>
  <si>
    <t>Total Maching Cost / Piece</t>
  </si>
  <si>
    <t>Sq Inch</t>
  </si>
  <si>
    <t>cost</t>
  </si>
  <si>
    <t>housing</t>
  </si>
  <si>
    <t>Runner cost</t>
  </si>
  <si>
    <t>material cost</t>
  </si>
  <si>
    <t>shot charge</t>
  </si>
  <si>
    <t>brass insert</t>
  </si>
  <si>
    <t>packing</t>
  </si>
  <si>
    <t>Piece cost</t>
  </si>
  <si>
    <t>driver cover with SPD</t>
  </si>
  <si>
    <t>diffuser</t>
  </si>
  <si>
    <t>tool cost</t>
  </si>
  <si>
    <t xml:space="preserve">casting </t>
  </si>
  <si>
    <t xml:space="preserve">difuser </t>
  </si>
  <si>
    <t>driver cover w/o SPD</t>
  </si>
  <si>
    <t xml:space="preserve">amortisation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</si>
</sst>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name val="Calibri"/>
      <family val="2"/>
    </font>
    <font>
      <sz val="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theme="8" tint="0.59999389629810485"/>
        <bgColor rgb="FF000000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9" fontId="3" fillId="0" borderId="5" xfId="1" applyNumberFormat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9" fontId="3" fillId="0" borderId="6" xfId="1" applyNumberFormat="1" applyFont="1" applyBorder="1" applyAlignment="1">
      <alignment horizontal="center" vertical="center" wrapText="1"/>
    </xf>
    <xf numFmtId="9" fontId="3" fillId="0" borderId="0" xfId="1" applyNumberFormat="1" applyFont="1" applyAlignment="1">
      <alignment horizontal="center" vertical="center" wrapText="1"/>
    </xf>
    <xf numFmtId="0" fontId="4" fillId="6" borderId="17" xfId="1" applyFont="1" applyFill="1" applyBorder="1" applyAlignment="1">
      <alignment horizontal="center" vertical="center" wrapText="1"/>
    </xf>
    <xf numFmtId="0" fontId="4" fillId="6" borderId="15" xfId="1" applyFont="1" applyFill="1" applyBorder="1" applyAlignment="1">
      <alignment horizontal="center" vertical="center" wrapText="1"/>
    </xf>
    <xf numFmtId="0" fontId="4" fillId="6" borderId="18" xfId="1" applyFont="1" applyFill="1" applyBorder="1" applyAlignment="1">
      <alignment horizontal="center" vertical="center" wrapText="1"/>
    </xf>
    <xf numFmtId="0" fontId="4" fillId="7" borderId="17" xfId="1" applyFont="1" applyFill="1" applyBorder="1" applyAlignment="1">
      <alignment horizontal="center" vertical="center" wrapText="1"/>
    </xf>
    <xf numFmtId="0" fontId="4" fillId="7" borderId="15" xfId="1" applyFont="1" applyFill="1" applyBorder="1" applyAlignment="1">
      <alignment horizontal="center" vertical="center" wrapText="1"/>
    </xf>
    <xf numFmtId="0" fontId="4" fillId="7" borderId="18" xfId="1" applyFont="1" applyFill="1" applyBorder="1" applyAlignment="1">
      <alignment horizontal="center" vertical="center" wrapText="1"/>
    </xf>
    <xf numFmtId="0" fontId="4" fillId="8" borderId="19" xfId="1" applyFont="1" applyFill="1" applyBorder="1" applyAlignment="1">
      <alignment horizontal="center" vertical="center" wrapText="1"/>
    </xf>
    <xf numFmtId="0" fontId="4" fillId="8" borderId="20" xfId="1" applyFont="1" applyFill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2" fontId="3" fillId="0" borderId="11" xfId="1" applyNumberFormat="1" applyFont="1" applyBorder="1" applyAlignment="1">
      <alignment horizontal="center" vertical="center" wrapText="1"/>
    </xf>
    <xf numFmtId="2" fontId="4" fillId="0" borderId="12" xfId="1" applyNumberFormat="1" applyFont="1" applyBorder="1" applyAlignment="1">
      <alignment horizontal="center" vertical="center" wrapText="1"/>
    </xf>
    <xf numFmtId="2" fontId="3" fillId="0" borderId="0" xfId="1" applyNumberFormat="1" applyFont="1" applyAlignment="1">
      <alignment horizontal="center" vertical="center" wrapText="1"/>
    </xf>
    <xf numFmtId="2" fontId="4" fillId="0" borderId="0" xfId="1" applyNumberFormat="1" applyFont="1" applyAlignment="1">
      <alignment horizontal="center" vertical="center" wrapText="1"/>
    </xf>
    <xf numFmtId="0" fontId="4" fillId="6" borderId="25" xfId="1" applyFont="1" applyFill="1" applyBorder="1" applyAlignment="1">
      <alignment horizontal="center" vertical="center" wrapText="1"/>
    </xf>
    <xf numFmtId="0" fontId="4" fillId="6" borderId="23" xfId="1" applyFont="1" applyFill="1" applyBorder="1" applyAlignment="1">
      <alignment horizontal="center" vertical="center" wrapText="1"/>
    </xf>
    <xf numFmtId="0" fontId="4" fillId="6" borderId="26" xfId="1" applyFont="1" applyFill="1" applyBorder="1" applyAlignment="1">
      <alignment horizontal="center" vertical="center" wrapText="1"/>
    </xf>
    <xf numFmtId="0" fontId="4" fillId="6" borderId="27" xfId="1" applyFont="1" applyFill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28" xfId="1" applyFont="1" applyBorder="1" applyAlignment="1">
      <alignment horizontal="center" vertical="center" wrapText="1"/>
    </xf>
    <xf numFmtId="2" fontId="3" fillId="0" borderId="28" xfId="1" applyNumberFormat="1" applyFont="1" applyBorder="1" applyAlignment="1">
      <alignment horizontal="center" vertical="center" wrapText="1"/>
    </xf>
    <xf numFmtId="2" fontId="3" fillId="0" borderId="29" xfId="1" applyNumberFormat="1" applyFont="1" applyBorder="1" applyAlignment="1">
      <alignment horizontal="center" vertical="center" wrapText="1"/>
    </xf>
    <xf numFmtId="2" fontId="2" fillId="0" borderId="0" xfId="1" applyNumberFormat="1" applyFont="1" applyAlignment="1">
      <alignment horizontal="center" vertical="center" wrapText="1"/>
    </xf>
    <xf numFmtId="0" fontId="3" fillId="0" borderId="22" xfId="1" applyFont="1" applyBorder="1" applyAlignment="1">
      <alignment horizontal="center" vertical="center" wrapText="1"/>
    </xf>
    <xf numFmtId="0" fontId="3" fillId="0" borderId="30" xfId="1" applyFont="1" applyBorder="1" applyAlignment="1">
      <alignment horizontal="center" vertical="center" wrapText="1"/>
    </xf>
    <xf numFmtId="2" fontId="3" fillId="0" borderId="30" xfId="1" applyNumberFormat="1" applyFont="1" applyBorder="1" applyAlignment="1">
      <alignment horizontal="center" vertical="center" wrapText="1"/>
    </xf>
    <xf numFmtId="2" fontId="3" fillId="0" borderId="27" xfId="1" applyNumberFormat="1" applyFont="1" applyBorder="1" applyAlignment="1">
      <alignment horizontal="center" vertical="center" wrapText="1"/>
    </xf>
    <xf numFmtId="0" fontId="6" fillId="0" borderId="28" xfId="1" applyFont="1" applyBorder="1" applyAlignment="1">
      <alignment horizontal="center" vertical="center" wrapText="1"/>
    </xf>
    <xf numFmtId="0" fontId="6" fillId="0" borderId="29" xfId="1" applyFont="1" applyBorder="1" applyAlignment="1">
      <alignment horizontal="center" vertical="center" wrapText="1"/>
    </xf>
    <xf numFmtId="0" fontId="6" fillId="0" borderId="32" xfId="1" applyFont="1" applyBorder="1" applyAlignment="1">
      <alignment horizontal="center" vertical="center" wrapText="1"/>
    </xf>
    <xf numFmtId="0" fontId="6" fillId="0" borderId="33" xfId="1" applyFont="1" applyBorder="1" applyAlignment="1">
      <alignment horizontal="center" vertical="center" wrapText="1"/>
    </xf>
    <xf numFmtId="0" fontId="3" fillId="0" borderId="32" xfId="1" applyFont="1" applyBorder="1" applyAlignment="1">
      <alignment horizontal="center" vertical="center" wrapText="1"/>
    </xf>
    <xf numFmtId="0" fontId="6" fillId="0" borderId="30" xfId="1" applyFont="1" applyBorder="1" applyAlignment="1">
      <alignment horizontal="center" vertical="center" wrapText="1"/>
    </xf>
    <xf numFmtId="0" fontId="6" fillId="0" borderId="34" xfId="1" applyFont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4" fillId="2" borderId="2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23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4" fillId="2" borderId="24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31" xfId="1" applyFont="1" applyBorder="1" applyAlignment="1">
      <alignment horizontal="center" vertical="center" wrapText="1"/>
    </xf>
    <xf numFmtId="0" fontId="5" fillId="0" borderId="22" xfId="1" applyFont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4" fillId="3" borderId="11" xfId="1" applyFont="1" applyFill="1" applyBorder="1" applyAlignment="1">
      <alignment horizontal="center" vertical="center" wrapText="1"/>
    </xf>
    <xf numFmtId="0" fontId="4" fillId="3" borderId="12" xfId="1" applyFont="1" applyFill="1" applyBorder="1" applyAlignment="1">
      <alignment horizontal="center" vertical="center" wrapText="1"/>
    </xf>
    <xf numFmtId="0" fontId="4" fillId="4" borderId="10" xfId="1" applyFont="1" applyFill="1" applyBorder="1" applyAlignment="1">
      <alignment horizontal="center" vertical="center" wrapText="1"/>
    </xf>
    <xf numFmtId="0" fontId="4" fillId="4" borderId="11" xfId="1" applyFont="1" applyFill="1" applyBorder="1" applyAlignment="1">
      <alignment horizontal="center" vertical="center" wrapText="1"/>
    </xf>
    <xf numFmtId="0" fontId="4" fillId="4" borderId="12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Normal 4" xfId="1" xr:uid="{81B6C603-0C21-D941-8038-03AD6F1F4D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7F0D6-DE09-4D44-87A7-2D010446471A}">
  <dimension ref="A1"/>
  <sheetViews>
    <sheetView workbookViewId="0">
      <selection activeCell="C2" sqref="C2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03D03-5725-4B44-BCED-A18DFB42F126}">
  <dimension ref="B2:T22"/>
  <sheetViews>
    <sheetView workbookViewId="0">
      <selection activeCell="G31" sqref="G31"/>
    </sheetView>
  </sheetViews>
  <sheetFormatPr baseColWidth="10" defaultColWidth="12.1640625" defaultRowHeight="12" x14ac:dyDescent="0.2"/>
  <cols>
    <col min="1" max="1" width="6.83203125" style="1" customWidth="1"/>
    <col min="2" max="2" width="4.5" style="1" bestFit="1" customWidth="1"/>
    <col min="3" max="3" width="9.83203125" style="1" bestFit="1" customWidth="1"/>
    <col min="4" max="4" width="12.5" style="1" bestFit="1" customWidth="1"/>
    <col min="5" max="5" width="8.5" style="1" bestFit="1" customWidth="1"/>
    <col min="6" max="6" width="12.5" style="1" bestFit="1" customWidth="1"/>
    <col min="7" max="8" width="10.83203125" style="1" bestFit="1" customWidth="1"/>
    <col min="9" max="9" width="11.5" style="1" bestFit="1" customWidth="1"/>
    <col min="10" max="10" width="12.1640625" style="1" bestFit="1"/>
    <col min="11" max="11" width="11.1640625" style="1" bestFit="1" customWidth="1"/>
    <col min="12" max="12" width="11.5" style="1" bestFit="1" customWidth="1"/>
    <col min="13" max="13" width="11" style="1" bestFit="1" customWidth="1"/>
    <col min="14" max="15" width="8.5" style="1" bestFit="1" customWidth="1"/>
    <col min="16" max="16" width="10.5" style="1" bestFit="1" customWidth="1"/>
    <col min="17" max="17" width="5.6640625" style="1" bestFit="1" customWidth="1"/>
    <col min="18" max="18" width="3.5" style="1" bestFit="1" customWidth="1"/>
    <col min="19" max="19" width="5.1640625" style="1" bestFit="1" customWidth="1"/>
    <col min="20" max="16384" width="12.1640625" style="1"/>
  </cols>
  <sheetData>
    <row r="2" spans="2:20" ht="13" thickBot="1" x14ac:dyDescent="0.25"/>
    <row r="3" spans="2:20" ht="27" thickBot="1" x14ac:dyDescent="0.25">
      <c r="B3" s="2"/>
      <c r="C3" s="2"/>
      <c r="D3" s="3" t="s">
        <v>409</v>
      </c>
      <c r="E3" s="3" t="s">
        <v>410</v>
      </c>
      <c r="F3" s="4" t="s">
        <v>411</v>
      </c>
      <c r="G3" s="4" t="s">
        <v>412</v>
      </c>
      <c r="H3" s="5" t="s">
        <v>413</v>
      </c>
      <c r="I3" s="5" t="s">
        <v>414</v>
      </c>
      <c r="J3" s="2"/>
      <c r="K3" s="3" t="s">
        <v>409</v>
      </c>
      <c r="L3" s="3" t="s">
        <v>415</v>
      </c>
      <c r="M3" s="5" t="s">
        <v>416</v>
      </c>
      <c r="N3" s="2"/>
      <c r="O3" s="2"/>
      <c r="P3" s="2"/>
      <c r="Q3" s="2"/>
    </row>
    <row r="4" spans="2:20" ht="14" thickBot="1" x14ac:dyDescent="0.25">
      <c r="B4" s="2"/>
      <c r="C4" s="2"/>
      <c r="D4" s="6" t="s">
        <v>417</v>
      </c>
      <c r="E4" s="6">
        <v>330</v>
      </c>
      <c r="F4" s="7">
        <v>0.06</v>
      </c>
      <c r="G4" s="8">
        <v>0.35</v>
      </c>
      <c r="H4" s="9">
        <v>0.35</v>
      </c>
      <c r="I4" s="9">
        <v>0.11</v>
      </c>
      <c r="J4" s="2"/>
      <c r="K4" s="6" t="s">
        <v>418</v>
      </c>
      <c r="L4" s="6">
        <v>250</v>
      </c>
      <c r="M4" s="10">
        <v>0</v>
      </c>
      <c r="N4" s="2"/>
      <c r="O4" s="2"/>
      <c r="P4" s="2"/>
      <c r="Q4" s="2"/>
    </row>
    <row r="5" spans="2:20" ht="14" thickBot="1" x14ac:dyDescent="0.25">
      <c r="B5" s="2"/>
      <c r="C5" s="2"/>
      <c r="D5" s="2"/>
      <c r="E5" s="2"/>
      <c r="F5" s="11"/>
      <c r="G5" s="2"/>
      <c r="H5" s="2"/>
      <c r="I5" s="2"/>
      <c r="J5" s="2"/>
      <c r="K5" s="6" t="s">
        <v>419</v>
      </c>
      <c r="L5" s="6">
        <v>310</v>
      </c>
      <c r="M5" s="10">
        <v>0</v>
      </c>
      <c r="N5" s="2"/>
      <c r="O5" s="2"/>
      <c r="P5" s="2"/>
      <c r="Q5" s="2"/>
      <c r="R5" s="2"/>
      <c r="S5" s="2"/>
      <c r="T5" s="2"/>
    </row>
    <row r="6" spans="2:20" ht="13" thickBot="1" x14ac:dyDescent="0.25">
      <c r="B6" s="2"/>
      <c r="C6" s="2"/>
      <c r="D6" s="2"/>
      <c r="E6" s="2"/>
      <c r="F6" s="1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20" ht="13" thickBot="1" x14ac:dyDescent="0.25">
      <c r="B7" s="48" t="s">
        <v>420</v>
      </c>
      <c r="C7" s="50" t="s">
        <v>421</v>
      </c>
      <c r="D7" s="52" t="s">
        <v>2</v>
      </c>
      <c r="E7" s="63" t="s">
        <v>422</v>
      </c>
      <c r="F7" s="64"/>
      <c r="G7" s="64"/>
      <c r="H7" s="64"/>
      <c r="I7" s="64"/>
      <c r="J7" s="64"/>
      <c r="K7" s="65"/>
      <c r="L7" s="66" t="s">
        <v>423</v>
      </c>
      <c r="M7" s="67"/>
      <c r="N7" s="67"/>
      <c r="O7" s="67"/>
      <c r="P7" s="68"/>
      <c r="Q7" s="69" t="s">
        <v>414</v>
      </c>
      <c r="R7" s="70"/>
      <c r="S7" s="46" t="s">
        <v>9</v>
      </c>
    </row>
    <row r="8" spans="2:20" ht="27" thickBot="1" x14ac:dyDescent="0.25">
      <c r="B8" s="60"/>
      <c r="C8" s="61"/>
      <c r="D8" s="62"/>
      <c r="E8" s="12" t="s">
        <v>424</v>
      </c>
      <c r="F8" s="13" t="s">
        <v>425</v>
      </c>
      <c r="G8" s="13" t="s">
        <v>426</v>
      </c>
      <c r="H8" s="13" t="s">
        <v>427</v>
      </c>
      <c r="I8" s="13" t="s">
        <v>428</v>
      </c>
      <c r="J8" s="13" t="s">
        <v>429</v>
      </c>
      <c r="K8" s="14" t="s">
        <v>430</v>
      </c>
      <c r="L8" s="15" t="s">
        <v>431</v>
      </c>
      <c r="M8" s="16" t="s">
        <v>432</v>
      </c>
      <c r="N8" s="16" t="s">
        <v>433</v>
      </c>
      <c r="O8" s="16" t="s">
        <v>434</v>
      </c>
      <c r="P8" s="17" t="s">
        <v>435</v>
      </c>
      <c r="Q8" s="18" t="s">
        <v>436</v>
      </c>
      <c r="R8" s="19" t="s">
        <v>437</v>
      </c>
      <c r="S8" s="47"/>
    </row>
    <row r="9" spans="2:20" ht="14" thickBot="1" x14ac:dyDescent="0.25">
      <c r="B9" s="20">
        <v>1</v>
      </c>
      <c r="C9" s="21"/>
      <c r="D9" s="21" t="s">
        <v>438</v>
      </c>
      <c r="E9" s="21">
        <v>0.25600000000000001</v>
      </c>
      <c r="F9" s="21">
        <f t="shared" ref="F9" si="0">E9*F$4</f>
        <v>1.536E-2</v>
      </c>
      <c r="G9" s="21">
        <f>F9+E9</f>
        <v>0.27135999999999999</v>
      </c>
      <c r="H9" s="21">
        <f t="shared" ref="H9" si="1">G9*E$4</f>
        <v>89.5488</v>
      </c>
      <c r="I9" s="22">
        <v>10</v>
      </c>
      <c r="J9" s="22">
        <v>4</v>
      </c>
      <c r="K9" s="22">
        <f t="shared" ref="K9" si="2">SUM(I9,H9,J9)</f>
        <v>103.5488</v>
      </c>
      <c r="L9" s="22">
        <v>13</v>
      </c>
      <c r="M9" s="22">
        <v>13</v>
      </c>
      <c r="N9" s="21">
        <f>L9*G$4</f>
        <v>4.55</v>
      </c>
      <c r="O9" s="22">
        <f t="shared" ref="O9" si="3">M9*H$4</f>
        <v>4.55</v>
      </c>
      <c r="P9" s="22">
        <f t="shared" ref="P9" si="4">SUM(O9,N9)</f>
        <v>9.1</v>
      </c>
      <c r="Q9" s="22">
        <v>82</v>
      </c>
      <c r="R9" s="22">
        <f t="shared" ref="R9" si="5">Q9*I$4</f>
        <v>9.02</v>
      </c>
      <c r="S9" s="23">
        <f>R9+P9+K9</f>
        <v>121.6688</v>
      </c>
    </row>
    <row r="10" spans="2:20" x14ac:dyDescent="0.2">
      <c r="B10" s="2"/>
      <c r="C10" s="2"/>
      <c r="D10" s="2"/>
      <c r="E10" s="2">
        <f>225*E9</f>
        <v>57.6</v>
      </c>
      <c r="F10" s="2">
        <f>K9/E10</f>
        <v>1.7977222222222222</v>
      </c>
      <c r="G10" s="2"/>
      <c r="H10" s="2"/>
      <c r="I10" s="24"/>
      <c r="J10" s="24"/>
      <c r="K10" s="24"/>
      <c r="L10" s="24"/>
      <c r="M10" s="24"/>
      <c r="N10" s="2"/>
      <c r="O10" s="24"/>
      <c r="P10" s="24"/>
      <c r="Q10" s="24"/>
      <c r="R10" s="24"/>
      <c r="S10" s="25"/>
    </row>
    <row r="11" spans="2:20" ht="13" thickBot="1" x14ac:dyDescent="0.25">
      <c r="B11" s="2"/>
      <c r="C11" s="2"/>
      <c r="D11" s="2"/>
      <c r="E11" s="2"/>
      <c r="F11" s="2"/>
      <c r="G11" s="2"/>
      <c r="H11" s="2"/>
      <c r="I11" s="24"/>
      <c r="J11" s="24"/>
      <c r="K11" s="24"/>
      <c r="L11" s="24"/>
      <c r="M11" s="24"/>
      <c r="N11" s="2"/>
      <c r="O11" s="24"/>
      <c r="P11" s="24"/>
      <c r="Q11" s="24"/>
      <c r="R11" s="24"/>
      <c r="S11" s="25"/>
    </row>
    <row r="12" spans="2:20" ht="13" thickBot="1" x14ac:dyDescent="0.25">
      <c r="B12" s="48" t="s">
        <v>420</v>
      </c>
      <c r="C12" s="50" t="s">
        <v>421</v>
      </c>
      <c r="D12" s="52" t="s">
        <v>2</v>
      </c>
      <c r="E12" s="54" t="s">
        <v>422</v>
      </c>
      <c r="F12" s="55"/>
      <c r="G12" s="55"/>
      <c r="H12" s="55"/>
      <c r="I12" s="55"/>
      <c r="J12" s="55"/>
      <c r="K12" s="55"/>
      <c r="L12" s="56"/>
    </row>
    <row r="13" spans="2:20" ht="27" thickBot="1" x14ac:dyDescent="0.25">
      <c r="B13" s="49"/>
      <c r="C13" s="51"/>
      <c r="D13" s="53"/>
      <c r="E13" s="26" t="s">
        <v>424</v>
      </c>
      <c r="F13" s="27" t="s">
        <v>439</v>
      </c>
      <c r="G13" s="27" t="s">
        <v>426</v>
      </c>
      <c r="H13" s="27" t="s">
        <v>440</v>
      </c>
      <c r="I13" s="27" t="s">
        <v>441</v>
      </c>
      <c r="J13" s="27" t="s">
        <v>442</v>
      </c>
      <c r="K13" s="28" t="s">
        <v>443</v>
      </c>
      <c r="L13" s="29" t="s">
        <v>444</v>
      </c>
    </row>
    <row r="14" spans="2:20" ht="26" x14ac:dyDescent="0.2">
      <c r="B14" s="30">
        <v>1</v>
      </c>
      <c r="C14" s="31"/>
      <c r="D14" s="31" t="s">
        <v>445</v>
      </c>
      <c r="E14" s="31">
        <v>5.6000000000000001E-2</v>
      </c>
      <c r="F14" s="31">
        <f>E14*M$4</f>
        <v>0</v>
      </c>
      <c r="G14" s="31">
        <f t="shared" ref="G14:G15" si="6">F14+E14</f>
        <v>5.6000000000000001E-2</v>
      </c>
      <c r="H14" s="31">
        <f>G14*L4</f>
        <v>14</v>
      </c>
      <c r="I14" s="32">
        <v>3.5</v>
      </c>
      <c r="J14" s="32">
        <v>3</v>
      </c>
      <c r="K14" s="32">
        <v>1.28</v>
      </c>
      <c r="L14" s="33">
        <f>SUM(I14,H14,J14:K14)</f>
        <v>21.78</v>
      </c>
      <c r="M14" s="34"/>
    </row>
    <row r="15" spans="2:20" ht="14" thickBot="1" x14ac:dyDescent="0.25">
      <c r="B15" s="35">
        <v>2</v>
      </c>
      <c r="C15" s="36"/>
      <c r="D15" s="36" t="s">
        <v>446</v>
      </c>
      <c r="E15" s="36">
        <v>0.04</v>
      </c>
      <c r="F15" s="36">
        <v>0</v>
      </c>
      <c r="G15" s="36">
        <f t="shared" si="6"/>
        <v>0.04</v>
      </c>
      <c r="H15" s="36">
        <f>G15*L5</f>
        <v>12.4</v>
      </c>
      <c r="I15" s="37">
        <v>2.5499999999999998</v>
      </c>
      <c r="J15" s="37">
        <v>0</v>
      </c>
      <c r="K15" s="37">
        <v>0.5</v>
      </c>
      <c r="L15" s="38">
        <f>SUM(I15,H15,J15:K15)</f>
        <v>15.45</v>
      </c>
    </row>
    <row r="17" spans="5:11" ht="13" thickBot="1" x14ac:dyDescent="0.25"/>
    <row r="18" spans="5:11" ht="13" x14ac:dyDescent="0.2">
      <c r="E18" s="57" t="s">
        <v>447</v>
      </c>
      <c r="F18" s="39" t="s">
        <v>448</v>
      </c>
      <c r="G18" s="40">
        <v>675000</v>
      </c>
      <c r="I18" s="57" t="s">
        <v>447</v>
      </c>
      <c r="J18" s="39" t="s">
        <v>448</v>
      </c>
      <c r="K18" s="40">
        <v>675000</v>
      </c>
    </row>
    <row r="19" spans="5:11" ht="13" x14ac:dyDescent="0.2">
      <c r="E19" s="58"/>
      <c r="F19" s="41" t="s">
        <v>449</v>
      </c>
      <c r="G19" s="42">
        <v>210000</v>
      </c>
      <c r="I19" s="58"/>
      <c r="J19" s="41" t="s">
        <v>449</v>
      </c>
      <c r="K19" s="42">
        <v>210000</v>
      </c>
    </row>
    <row r="20" spans="5:11" ht="26" x14ac:dyDescent="0.2">
      <c r="E20" s="58"/>
      <c r="F20" s="43" t="s">
        <v>445</v>
      </c>
      <c r="G20" s="42">
        <v>265000</v>
      </c>
      <c r="I20" s="58"/>
      <c r="J20" s="43" t="s">
        <v>450</v>
      </c>
      <c r="K20" s="42">
        <v>220000</v>
      </c>
    </row>
    <row r="21" spans="5:11" x14ac:dyDescent="0.2">
      <c r="E21" s="58"/>
      <c r="F21" s="41"/>
      <c r="G21" s="42">
        <f>SUM(G18:G20)</f>
        <v>1150000</v>
      </c>
      <c r="I21" s="58"/>
      <c r="J21" s="41"/>
      <c r="K21" s="42">
        <f>SUM(K18:K20)</f>
        <v>1105000</v>
      </c>
    </row>
    <row r="22" spans="5:11" ht="14" thickBot="1" x14ac:dyDescent="0.25">
      <c r="E22" s="59"/>
      <c r="F22" s="44" t="s">
        <v>451</v>
      </c>
      <c r="G22" s="45">
        <f>G21/200000</f>
        <v>5.75</v>
      </c>
      <c r="I22" s="59"/>
      <c r="J22" s="44" t="s">
        <v>451</v>
      </c>
      <c r="K22" s="45">
        <f>K21/200000</f>
        <v>5.5250000000000004</v>
      </c>
    </row>
  </sheetData>
  <mergeCells count="13">
    <mergeCell ref="E18:E22"/>
    <mergeCell ref="I18:I22"/>
    <mergeCell ref="B7:B8"/>
    <mergeCell ref="C7:C8"/>
    <mergeCell ref="D7:D8"/>
    <mergeCell ref="E7:K7"/>
    <mergeCell ref="S7:S8"/>
    <mergeCell ref="B12:B13"/>
    <mergeCell ref="C12:C13"/>
    <mergeCell ref="D12:D13"/>
    <mergeCell ref="E12:L12"/>
    <mergeCell ref="L7:P7"/>
    <mergeCell ref="Q7:R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F50C6-4CEB-904F-AC63-4BD3478C8005}">
  <dimension ref="A1:Q30"/>
  <sheetViews>
    <sheetView workbookViewId="0">
      <selection activeCell="B2" sqref="B2"/>
    </sheetView>
  </sheetViews>
  <sheetFormatPr baseColWidth="10" defaultRowHeight="16" x14ac:dyDescent="0.2"/>
  <cols>
    <col min="3" max="3" width="82.6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20603194</v>
      </c>
      <c r="C2" t="s">
        <v>18</v>
      </c>
      <c r="D2">
        <v>1</v>
      </c>
      <c r="E2" t="s">
        <v>19</v>
      </c>
      <c r="F2" t="s">
        <v>20</v>
      </c>
      <c r="G2" t="s">
        <v>21</v>
      </c>
      <c r="H2" t="s">
        <v>22</v>
      </c>
      <c r="L2">
        <v>0</v>
      </c>
    </row>
    <row r="3" spans="1:17" x14ac:dyDescent="0.2">
      <c r="A3" t="s">
        <v>17</v>
      </c>
      <c r="B3">
        <v>20405402</v>
      </c>
      <c r="C3" t="s">
        <v>23</v>
      </c>
      <c r="D3">
        <v>1</v>
      </c>
      <c r="E3" t="s">
        <v>19</v>
      </c>
      <c r="F3" t="s">
        <v>24</v>
      </c>
      <c r="G3" t="s">
        <v>21</v>
      </c>
      <c r="H3" t="s">
        <v>22</v>
      </c>
      <c r="I3" t="s">
        <v>25</v>
      </c>
      <c r="J3" t="s">
        <v>25</v>
      </c>
      <c r="L3">
        <v>0</v>
      </c>
    </row>
    <row r="4" spans="1:17" x14ac:dyDescent="0.2">
      <c r="A4" t="s">
        <v>17</v>
      </c>
      <c r="B4">
        <v>20203354</v>
      </c>
      <c r="C4" t="s">
        <v>26</v>
      </c>
      <c r="D4">
        <v>1</v>
      </c>
      <c r="E4" t="s">
        <v>19</v>
      </c>
      <c r="F4" t="s">
        <v>27</v>
      </c>
      <c r="G4" t="s">
        <v>21</v>
      </c>
      <c r="H4" t="s">
        <v>22</v>
      </c>
      <c r="I4" t="s">
        <v>28</v>
      </c>
      <c r="J4" t="s">
        <v>28</v>
      </c>
      <c r="L4">
        <v>0</v>
      </c>
    </row>
    <row r="5" spans="1:17" x14ac:dyDescent="0.2">
      <c r="A5" t="s">
        <v>17</v>
      </c>
      <c r="B5">
        <v>10403235</v>
      </c>
      <c r="C5" t="s">
        <v>29</v>
      </c>
      <c r="D5">
        <v>1E-3</v>
      </c>
      <c r="E5" t="s">
        <v>30</v>
      </c>
      <c r="F5" t="s">
        <v>31</v>
      </c>
      <c r="G5" t="s">
        <v>21</v>
      </c>
      <c r="H5" t="s">
        <v>22</v>
      </c>
      <c r="I5" t="s">
        <v>32</v>
      </c>
      <c r="J5" t="s">
        <v>33</v>
      </c>
      <c r="L5">
        <v>0</v>
      </c>
    </row>
    <row r="6" spans="1:17" x14ac:dyDescent="0.2">
      <c r="A6" t="s">
        <v>17</v>
      </c>
      <c r="B6">
        <v>10403110</v>
      </c>
      <c r="C6" t="s">
        <v>34</v>
      </c>
      <c r="D6">
        <v>1</v>
      </c>
      <c r="E6" t="s">
        <v>19</v>
      </c>
      <c r="F6" t="s">
        <v>35</v>
      </c>
      <c r="G6" t="s">
        <v>21</v>
      </c>
      <c r="H6" t="s">
        <v>22</v>
      </c>
      <c r="I6" t="s">
        <v>36</v>
      </c>
      <c r="J6" t="s">
        <v>36</v>
      </c>
      <c r="L6">
        <v>0</v>
      </c>
    </row>
    <row r="7" spans="1:17" x14ac:dyDescent="0.2">
      <c r="A7" t="s">
        <v>17</v>
      </c>
      <c r="B7">
        <v>10403086</v>
      </c>
      <c r="C7" t="s">
        <v>37</v>
      </c>
      <c r="D7">
        <v>2.1999999999999999E-2</v>
      </c>
      <c r="E7" t="s">
        <v>19</v>
      </c>
      <c r="F7" t="s">
        <v>38</v>
      </c>
      <c r="G7" t="s">
        <v>21</v>
      </c>
      <c r="H7" t="s">
        <v>22</v>
      </c>
      <c r="I7" t="s">
        <v>39</v>
      </c>
      <c r="J7" t="s">
        <v>40</v>
      </c>
      <c r="L7">
        <v>0</v>
      </c>
    </row>
    <row r="8" spans="1:17" x14ac:dyDescent="0.2">
      <c r="A8" t="s">
        <v>17</v>
      </c>
      <c r="B8">
        <v>10403075</v>
      </c>
      <c r="C8" t="s">
        <v>41</v>
      </c>
      <c r="D8">
        <v>1</v>
      </c>
      <c r="E8" t="s">
        <v>19</v>
      </c>
      <c r="F8" t="s">
        <v>42</v>
      </c>
      <c r="G8" t="s">
        <v>21</v>
      </c>
      <c r="H8" t="s">
        <v>22</v>
      </c>
      <c r="I8" t="s">
        <v>43</v>
      </c>
      <c r="J8" t="s">
        <v>43</v>
      </c>
      <c r="L8">
        <v>0</v>
      </c>
    </row>
    <row r="9" spans="1:17" x14ac:dyDescent="0.2">
      <c r="A9" t="s">
        <v>17</v>
      </c>
      <c r="B9">
        <v>10403018</v>
      </c>
      <c r="C9" t="s">
        <v>44</v>
      </c>
      <c r="D9">
        <v>0.25</v>
      </c>
      <c r="E9" t="s">
        <v>19</v>
      </c>
      <c r="F9" t="s">
        <v>38</v>
      </c>
      <c r="G9" t="s">
        <v>21</v>
      </c>
      <c r="H9" t="s">
        <v>22</v>
      </c>
      <c r="I9" t="s">
        <v>45</v>
      </c>
      <c r="J9" t="s">
        <v>46</v>
      </c>
      <c r="L9">
        <v>0</v>
      </c>
    </row>
    <row r="10" spans="1:17" x14ac:dyDescent="0.2">
      <c r="A10" t="s">
        <v>17</v>
      </c>
      <c r="B10">
        <v>10403009</v>
      </c>
      <c r="C10" t="s">
        <v>47</v>
      </c>
      <c r="D10">
        <v>1E-4</v>
      </c>
      <c r="E10" t="s">
        <v>30</v>
      </c>
      <c r="F10" t="s">
        <v>48</v>
      </c>
      <c r="G10" t="s">
        <v>21</v>
      </c>
      <c r="H10" t="s">
        <v>22</v>
      </c>
      <c r="I10" t="s">
        <v>49</v>
      </c>
      <c r="J10" t="s">
        <v>50</v>
      </c>
      <c r="L10">
        <v>0</v>
      </c>
    </row>
    <row r="11" spans="1:17" x14ac:dyDescent="0.2">
      <c r="A11" t="s">
        <v>17</v>
      </c>
      <c r="B11">
        <v>10310039</v>
      </c>
      <c r="C11" t="s">
        <v>51</v>
      </c>
      <c r="D11">
        <v>1</v>
      </c>
      <c r="E11" t="s">
        <v>19</v>
      </c>
      <c r="F11" t="s">
        <v>52</v>
      </c>
      <c r="G11" t="s">
        <v>21</v>
      </c>
      <c r="H11" t="s">
        <v>22</v>
      </c>
      <c r="I11" t="s">
        <v>53</v>
      </c>
      <c r="J11" t="s">
        <v>53</v>
      </c>
      <c r="L11">
        <v>0</v>
      </c>
    </row>
    <row r="12" spans="1:17" x14ac:dyDescent="0.2">
      <c r="A12" t="s">
        <v>17</v>
      </c>
      <c r="B12">
        <v>10310001</v>
      </c>
      <c r="C12" t="s">
        <v>54</v>
      </c>
      <c r="D12">
        <v>1</v>
      </c>
      <c r="E12" t="s">
        <v>19</v>
      </c>
      <c r="F12" t="s">
        <v>55</v>
      </c>
      <c r="G12" t="s">
        <v>21</v>
      </c>
      <c r="H12" t="s">
        <v>22</v>
      </c>
      <c r="I12" t="s">
        <v>56</v>
      </c>
      <c r="J12" t="s">
        <v>56</v>
      </c>
      <c r="L12">
        <v>0</v>
      </c>
    </row>
    <row r="13" spans="1:17" x14ac:dyDescent="0.2">
      <c r="A13" t="s">
        <v>17</v>
      </c>
      <c r="B13">
        <v>10308590</v>
      </c>
      <c r="C13" t="s">
        <v>57</v>
      </c>
      <c r="D13">
        <v>1</v>
      </c>
      <c r="E13" t="s">
        <v>19</v>
      </c>
      <c r="F13" t="s">
        <v>38</v>
      </c>
      <c r="G13" t="s">
        <v>21</v>
      </c>
      <c r="H13" t="s">
        <v>22</v>
      </c>
      <c r="I13" t="s">
        <v>58</v>
      </c>
      <c r="J13" t="s">
        <v>58</v>
      </c>
      <c r="L13">
        <v>0</v>
      </c>
    </row>
    <row r="14" spans="1:17" x14ac:dyDescent="0.2">
      <c r="A14" t="s">
        <v>17</v>
      </c>
      <c r="B14">
        <v>10308589</v>
      </c>
      <c r="C14" t="s">
        <v>59</v>
      </c>
      <c r="D14">
        <v>1</v>
      </c>
      <c r="E14" t="s">
        <v>19</v>
      </c>
      <c r="F14" t="s">
        <v>38</v>
      </c>
      <c r="G14" t="s">
        <v>21</v>
      </c>
      <c r="H14" t="s">
        <v>22</v>
      </c>
      <c r="I14" t="s">
        <v>60</v>
      </c>
      <c r="J14" t="s">
        <v>60</v>
      </c>
      <c r="L14">
        <v>0</v>
      </c>
    </row>
    <row r="15" spans="1:17" x14ac:dyDescent="0.2">
      <c r="A15" t="s">
        <v>17</v>
      </c>
      <c r="B15">
        <v>10308588</v>
      </c>
      <c r="C15" t="s">
        <v>61</v>
      </c>
      <c r="D15">
        <v>8.3299999999999999E-2</v>
      </c>
      <c r="E15" t="s">
        <v>19</v>
      </c>
      <c r="F15" t="s">
        <v>38</v>
      </c>
      <c r="G15" t="s">
        <v>21</v>
      </c>
      <c r="H15" t="s">
        <v>22</v>
      </c>
      <c r="I15" t="s">
        <v>62</v>
      </c>
      <c r="J15" t="s">
        <v>63</v>
      </c>
      <c r="L15">
        <v>0</v>
      </c>
    </row>
    <row r="16" spans="1:17" x14ac:dyDescent="0.2">
      <c r="A16" t="s">
        <v>17</v>
      </c>
      <c r="B16">
        <v>10307261</v>
      </c>
      <c r="C16" t="s">
        <v>64</v>
      </c>
      <c r="D16">
        <v>11</v>
      </c>
      <c r="E16" t="s">
        <v>19</v>
      </c>
      <c r="F16" t="s">
        <v>65</v>
      </c>
      <c r="G16" t="s">
        <v>21</v>
      </c>
      <c r="H16" t="s">
        <v>22</v>
      </c>
      <c r="I16" t="s">
        <v>66</v>
      </c>
      <c r="J16" t="s">
        <v>67</v>
      </c>
      <c r="L16">
        <v>0</v>
      </c>
    </row>
    <row r="17" spans="1:12" x14ac:dyDescent="0.2">
      <c r="A17" t="s">
        <v>17</v>
      </c>
      <c r="B17">
        <v>10306887</v>
      </c>
      <c r="C17" t="s">
        <v>68</v>
      </c>
      <c r="D17">
        <v>1</v>
      </c>
      <c r="E17" t="s">
        <v>19</v>
      </c>
      <c r="F17" t="s">
        <v>69</v>
      </c>
      <c r="G17" t="s">
        <v>21</v>
      </c>
      <c r="H17" t="s">
        <v>22</v>
      </c>
      <c r="I17" t="s">
        <v>70</v>
      </c>
      <c r="J17" t="s">
        <v>70</v>
      </c>
      <c r="L17">
        <v>0</v>
      </c>
    </row>
    <row r="18" spans="1:12" x14ac:dyDescent="0.2">
      <c r="A18" t="s">
        <v>17</v>
      </c>
      <c r="B18">
        <v>10306708</v>
      </c>
      <c r="C18" t="s">
        <v>71</v>
      </c>
      <c r="D18">
        <v>1.5</v>
      </c>
      <c r="E18" t="s">
        <v>72</v>
      </c>
      <c r="F18" t="s">
        <v>38</v>
      </c>
      <c r="G18" t="s">
        <v>21</v>
      </c>
      <c r="H18" t="s">
        <v>22</v>
      </c>
      <c r="I18" t="s">
        <v>73</v>
      </c>
      <c r="J18" t="s">
        <v>74</v>
      </c>
      <c r="L18">
        <v>0</v>
      </c>
    </row>
    <row r="19" spans="1:12" x14ac:dyDescent="0.2">
      <c r="A19" t="s">
        <v>17</v>
      </c>
      <c r="B19">
        <v>10306626</v>
      </c>
      <c r="C19" t="s">
        <v>75</v>
      </c>
      <c r="D19">
        <v>1</v>
      </c>
      <c r="E19" t="s">
        <v>19</v>
      </c>
      <c r="F19" t="s">
        <v>76</v>
      </c>
      <c r="G19" t="s">
        <v>21</v>
      </c>
      <c r="H19" t="s">
        <v>22</v>
      </c>
      <c r="I19" t="s">
        <v>77</v>
      </c>
      <c r="J19" t="s">
        <v>77</v>
      </c>
      <c r="L19">
        <v>0</v>
      </c>
    </row>
    <row r="20" spans="1:12" x14ac:dyDescent="0.2">
      <c r="A20" t="s">
        <v>17</v>
      </c>
      <c r="B20">
        <v>10306419</v>
      </c>
      <c r="C20" t="s">
        <v>78</v>
      </c>
      <c r="D20">
        <v>1</v>
      </c>
      <c r="E20" t="s">
        <v>19</v>
      </c>
      <c r="F20" t="s">
        <v>79</v>
      </c>
      <c r="G20" t="s">
        <v>21</v>
      </c>
      <c r="H20" t="s">
        <v>22</v>
      </c>
      <c r="I20" t="s">
        <v>80</v>
      </c>
      <c r="J20" t="s">
        <v>80</v>
      </c>
      <c r="L20">
        <v>0</v>
      </c>
    </row>
    <row r="21" spans="1:12" x14ac:dyDescent="0.2">
      <c r="A21" t="s">
        <v>17</v>
      </c>
      <c r="B21">
        <v>10306416</v>
      </c>
      <c r="C21" t="s">
        <v>81</v>
      </c>
      <c r="D21">
        <v>2</v>
      </c>
      <c r="E21" t="s">
        <v>19</v>
      </c>
      <c r="F21" t="s">
        <v>38</v>
      </c>
      <c r="G21" t="s">
        <v>21</v>
      </c>
      <c r="H21" t="s">
        <v>22</v>
      </c>
      <c r="I21" t="s">
        <v>82</v>
      </c>
      <c r="J21" t="s">
        <v>83</v>
      </c>
      <c r="L21">
        <v>0</v>
      </c>
    </row>
    <row r="22" spans="1:12" x14ac:dyDescent="0.2">
      <c r="A22" t="s">
        <v>17</v>
      </c>
      <c r="B22">
        <v>10306354</v>
      </c>
      <c r="C22" t="s">
        <v>84</v>
      </c>
      <c r="D22">
        <v>1</v>
      </c>
      <c r="E22" t="s">
        <v>19</v>
      </c>
      <c r="F22" t="s">
        <v>38</v>
      </c>
      <c r="G22" t="s">
        <v>21</v>
      </c>
      <c r="H22" t="s">
        <v>22</v>
      </c>
      <c r="I22" t="s">
        <v>83</v>
      </c>
      <c r="J22" t="s">
        <v>83</v>
      </c>
      <c r="L22">
        <v>0</v>
      </c>
    </row>
    <row r="23" spans="1:12" x14ac:dyDescent="0.2">
      <c r="A23" t="s">
        <v>17</v>
      </c>
      <c r="B23">
        <v>10306285</v>
      </c>
      <c r="C23" t="s">
        <v>85</v>
      </c>
      <c r="D23">
        <v>1</v>
      </c>
      <c r="E23" t="s">
        <v>19</v>
      </c>
      <c r="F23" t="s">
        <v>86</v>
      </c>
      <c r="G23" t="s">
        <v>21</v>
      </c>
      <c r="H23" t="s">
        <v>22</v>
      </c>
      <c r="I23" t="s">
        <v>87</v>
      </c>
      <c r="J23" t="s">
        <v>87</v>
      </c>
      <c r="L23">
        <v>0</v>
      </c>
    </row>
    <row r="24" spans="1:12" x14ac:dyDescent="0.2">
      <c r="A24" t="s">
        <v>17</v>
      </c>
      <c r="B24">
        <v>10304118</v>
      </c>
      <c r="C24" t="s">
        <v>88</v>
      </c>
      <c r="D24">
        <v>1</v>
      </c>
      <c r="E24" t="s">
        <v>19</v>
      </c>
      <c r="F24" t="s">
        <v>89</v>
      </c>
      <c r="G24" t="s">
        <v>21</v>
      </c>
      <c r="H24" t="s">
        <v>22</v>
      </c>
      <c r="I24" t="s">
        <v>90</v>
      </c>
      <c r="J24" t="s">
        <v>90</v>
      </c>
      <c r="L24">
        <v>0</v>
      </c>
    </row>
    <row r="25" spans="1:12" x14ac:dyDescent="0.2">
      <c r="A25" t="s">
        <v>17</v>
      </c>
      <c r="B25">
        <v>10303283</v>
      </c>
      <c r="C25" t="s">
        <v>91</v>
      </c>
      <c r="D25">
        <v>1</v>
      </c>
      <c r="E25" t="s">
        <v>19</v>
      </c>
      <c r="F25" t="s">
        <v>92</v>
      </c>
      <c r="G25" t="s">
        <v>21</v>
      </c>
      <c r="H25" t="s">
        <v>22</v>
      </c>
      <c r="I25" t="s">
        <v>93</v>
      </c>
      <c r="J25" t="s">
        <v>93</v>
      </c>
      <c r="L25">
        <v>0</v>
      </c>
    </row>
    <row r="26" spans="1:12" x14ac:dyDescent="0.2">
      <c r="A26" t="s">
        <v>17</v>
      </c>
      <c r="B26">
        <v>10302735</v>
      </c>
      <c r="C26" t="s">
        <v>94</v>
      </c>
      <c r="D26">
        <v>1</v>
      </c>
      <c r="E26" t="s">
        <v>19</v>
      </c>
      <c r="F26" t="s">
        <v>95</v>
      </c>
      <c r="G26" t="s">
        <v>21</v>
      </c>
      <c r="H26" t="s">
        <v>22</v>
      </c>
      <c r="I26" t="s">
        <v>87</v>
      </c>
      <c r="J26" t="s">
        <v>87</v>
      </c>
      <c r="L26">
        <v>0</v>
      </c>
    </row>
    <row r="27" spans="1:12" x14ac:dyDescent="0.2">
      <c r="A27" t="s">
        <v>17</v>
      </c>
      <c r="B27">
        <v>10302449</v>
      </c>
      <c r="C27" t="s">
        <v>96</v>
      </c>
      <c r="D27">
        <v>4</v>
      </c>
      <c r="E27" t="s">
        <v>19</v>
      </c>
      <c r="F27" t="s">
        <v>97</v>
      </c>
      <c r="G27" t="s">
        <v>21</v>
      </c>
      <c r="H27" t="s">
        <v>22</v>
      </c>
      <c r="I27" t="s">
        <v>66</v>
      </c>
      <c r="J27" t="s">
        <v>98</v>
      </c>
      <c r="L27">
        <v>0</v>
      </c>
    </row>
    <row r="28" spans="1:12" x14ac:dyDescent="0.2">
      <c r="A28" t="s">
        <v>17</v>
      </c>
      <c r="B28">
        <v>10302349</v>
      </c>
      <c r="C28" t="s">
        <v>99</v>
      </c>
      <c r="D28">
        <v>1</v>
      </c>
      <c r="E28" t="s">
        <v>19</v>
      </c>
      <c r="F28" t="s">
        <v>100</v>
      </c>
      <c r="G28" t="s">
        <v>21</v>
      </c>
      <c r="H28" t="s">
        <v>22</v>
      </c>
      <c r="I28" t="s">
        <v>101</v>
      </c>
      <c r="J28" t="s">
        <v>101</v>
      </c>
      <c r="L28">
        <v>0</v>
      </c>
    </row>
    <row r="29" spans="1:12" x14ac:dyDescent="0.2">
      <c r="A29" t="s">
        <v>17</v>
      </c>
      <c r="B29">
        <v>10302319</v>
      </c>
      <c r="C29" t="s">
        <v>102</v>
      </c>
      <c r="D29">
        <v>1</v>
      </c>
      <c r="E29" t="s">
        <v>19</v>
      </c>
      <c r="F29" t="s">
        <v>103</v>
      </c>
      <c r="G29" t="s">
        <v>21</v>
      </c>
      <c r="H29" t="s">
        <v>22</v>
      </c>
      <c r="I29" t="s">
        <v>104</v>
      </c>
      <c r="J29" t="s">
        <v>104</v>
      </c>
      <c r="L29">
        <v>0</v>
      </c>
    </row>
    <row r="30" spans="1:12" x14ac:dyDescent="0.2">
      <c r="A30" t="s">
        <v>17</v>
      </c>
      <c r="H30" t="s">
        <v>22</v>
      </c>
      <c r="L3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839C-1FF2-644E-A267-F26241157E07}">
  <dimension ref="A3:Q34"/>
  <sheetViews>
    <sheetView workbookViewId="0">
      <selection sqref="A1:Q29"/>
    </sheetView>
  </sheetViews>
  <sheetFormatPr baseColWidth="10" defaultRowHeight="16" x14ac:dyDescent="0.2"/>
  <cols>
    <col min="3" max="3" width="82.6640625" bestFit="1" customWidth="1"/>
  </cols>
  <sheetData>
    <row r="3" spans="1:17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</row>
    <row r="4" spans="1:17" x14ac:dyDescent="0.2">
      <c r="A4" t="s">
        <v>17</v>
      </c>
      <c r="B4">
        <v>20503168</v>
      </c>
      <c r="C4" t="s">
        <v>184</v>
      </c>
      <c r="D4">
        <v>1</v>
      </c>
      <c r="E4" t="s">
        <v>19</v>
      </c>
      <c r="G4" t="s">
        <v>185</v>
      </c>
      <c r="H4" t="s">
        <v>22</v>
      </c>
      <c r="I4" t="s">
        <v>186</v>
      </c>
      <c r="J4" t="s">
        <v>186</v>
      </c>
      <c r="L4">
        <v>0</v>
      </c>
    </row>
    <row r="5" spans="1:17" x14ac:dyDescent="0.2">
      <c r="A5" t="s">
        <v>17</v>
      </c>
      <c r="B5">
        <v>10202057</v>
      </c>
      <c r="C5" t="s">
        <v>187</v>
      </c>
      <c r="D5">
        <v>2</v>
      </c>
      <c r="E5" t="s">
        <v>19</v>
      </c>
      <c r="F5" t="s">
        <v>188</v>
      </c>
      <c r="G5" t="s">
        <v>185</v>
      </c>
      <c r="H5" t="s">
        <v>22</v>
      </c>
      <c r="I5" t="s">
        <v>189</v>
      </c>
      <c r="J5" t="s">
        <v>190</v>
      </c>
      <c r="L5">
        <v>0</v>
      </c>
    </row>
    <row r="6" spans="1:17" x14ac:dyDescent="0.2">
      <c r="A6" t="s">
        <v>17</v>
      </c>
      <c r="B6">
        <v>10203013</v>
      </c>
      <c r="C6" t="s">
        <v>191</v>
      </c>
      <c r="D6">
        <v>1</v>
      </c>
      <c r="E6" t="s">
        <v>19</v>
      </c>
      <c r="F6" t="s">
        <v>192</v>
      </c>
      <c r="G6" t="s">
        <v>185</v>
      </c>
      <c r="H6" t="s">
        <v>22</v>
      </c>
      <c r="I6" t="s">
        <v>193</v>
      </c>
      <c r="J6" t="s">
        <v>193</v>
      </c>
      <c r="L6">
        <v>0</v>
      </c>
    </row>
    <row r="7" spans="1:17" x14ac:dyDescent="0.2">
      <c r="A7" t="s">
        <v>17</v>
      </c>
      <c r="B7">
        <v>10203014</v>
      </c>
      <c r="C7" t="s">
        <v>194</v>
      </c>
      <c r="D7">
        <v>1</v>
      </c>
      <c r="E7" t="s">
        <v>19</v>
      </c>
      <c r="F7" t="s">
        <v>195</v>
      </c>
      <c r="G7" t="s">
        <v>185</v>
      </c>
      <c r="H7" t="s">
        <v>22</v>
      </c>
      <c r="I7" t="s">
        <v>196</v>
      </c>
      <c r="J7" t="s">
        <v>196</v>
      </c>
      <c r="L7">
        <v>0</v>
      </c>
    </row>
    <row r="8" spans="1:17" x14ac:dyDescent="0.2">
      <c r="A8" t="s">
        <v>17</v>
      </c>
      <c r="B8">
        <v>10203012</v>
      </c>
      <c r="C8" t="s">
        <v>197</v>
      </c>
      <c r="D8">
        <v>1</v>
      </c>
      <c r="E8" t="s">
        <v>19</v>
      </c>
      <c r="F8" t="s">
        <v>198</v>
      </c>
      <c r="G8" t="s">
        <v>185</v>
      </c>
      <c r="H8" t="s">
        <v>22</v>
      </c>
      <c r="I8" t="s">
        <v>80</v>
      </c>
      <c r="J8" t="s">
        <v>80</v>
      </c>
      <c r="L8">
        <v>0</v>
      </c>
    </row>
    <row r="9" spans="1:17" x14ac:dyDescent="0.2">
      <c r="A9" t="s">
        <v>17</v>
      </c>
      <c r="B9">
        <v>10203016</v>
      </c>
      <c r="C9" t="s">
        <v>199</v>
      </c>
      <c r="D9">
        <v>1</v>
      </c>
      <c r="E9" t="s">
        <v>19</v>
      </c>
      <c r="F9" t="s">
        <v>200</v>
      </c>
      <c r="G9" t="s">
        <v>185</v>
      </c>
      <c r="H9" t="s">
        <v>22</v>
      </c>
      <c r="I9" t="s">
        <v>201</v>
      </c>
      <c r="J9" t="s">
        <v>201</v>
      </c>
      <c r="L9">
        <v>0</v>
      </c>
    </row>
    <row r="10" spans="1:17" x14ac:dyDescent="0.2">
      <c r="A10" t="s">
        <v>17</v>
      </c>
      <c r="B10">
        <v>10203005</v>
      </c>
      <c r="C10" t="s">
        <v>202</v>
      </c>
      <c r="D10">
        <v>1</v>
      </c>
      <c r="E10" t="s">
        <v>19</v>
      </c>
      <c r="F10" t="s">
        <v>203</v>
      </c>
      <c r="G10" t="s">
        <v>185</v>
      </c>
      <c r="H10" t="s">
        <v>22</v>
      </c>
      <c r="I10" t="s">
        <v>137</v>
      </c>
      <c r="J10" t="s">
        <v>137</v>
      </c>
      <c r="L10">
        <v>0</v>
      </c>
    </row>
    <row r="11" spans="1:17" x14ac:dyDescent="0.2">
      <c r="A11" t="s">
        <v>17</v>
      </c>
      <c r="B11">
        <v>10203128</v>
      </c>
      <c r="C11" t="s">
        <v>204</v>
      </c>
      <c r="D11">
        <v>1</v>
      </c>
      <c r="E11" t="s">
        <v>19</v>
      </c>
      <c r="F11" t="s">
        <v>205</v>
      </c>
      <c r="G11" t="s">
        <v>185</v>
      </c>
      <c r="H11" t="s">
        <v>22</v>
      </c>
      <c r="I11" t="s">
        <v>206</v>
      </c>
      <c r="J11" t="s">
        <v>206</v>
      </c>
      <c r="L11">
        <v>0</v>
      </c>
    </row>
    <row r="12" spans="1:17" x14ac:dyDescent="0.2">
      <c r="A12" t="s">
        <v>17</v>
      </c>
      <c r="B12">
        <v>10203039</v>
      </c>
      <c r="C12" t="s">
        <v>207</v>
      </c>
      <c r="D12">
        <v>1</v>
      </c>
      <c r="E12" t="s">
        <v>19</v>
      </c>
      <c r="F12" t="s">
        <v>208</v>
      </c>
      <c r="G12" t="s">
        <v>185</v>
      </c>
      <c r="H12" t="s">
        <v>22</v>
      </c>
      <c r="I12" t="s">
        <v>209</v>
      </c>
      <c r="J12" t="s">
        <v>209</v>
      </c>
      <c r="L12">
        <v>0</v>
      </c>
    </row>
    <row r="13" spans="1:17" x14ac:dyDescent="0.2">
      <c r="A13" t="s">
        <v>17</v>
      </c>
      <c r="B13">
        <v>10206016</v>
      </c>
      <c r="C13" t="s">
        <v>210</v>
      </c>
      <c r="D13">
        <v>1</v>
      </c>
      <c r="E13" t="s">
        <v>19</v>
      </c>
      <c r="F13" t="s">
        <v>211</v>
      </c>
      <c r="G13" t="s">
        <v>185</v>
      </c>
      <c r="H13" t="s">
        <v>22</v>
      </c>
      <c r="I13" t="s">
        <v>212</v>
      </c>
      <c r="J13" t="s">
        <v>212</v>
      </c>
      <c r="L13">
        <v>0</v>
      </c>
    </row>
    <row r="14" spans="1:17" x14ac:dyDescent="0.2">
      <c r="A14" t="s">
        <v>17</v>
      </c>
      <c r="B14">
        <v>10206018</v>
      </c>
      <c r="C14" t="s">
        <v>213</v>
      </c>
      <c r="D14">
        <v>1</v>
      </c>
      <c r="E14" t="s">
        <v>19</v>
      </c>
      <c r="F14" t="s">
        <v>214</v>
      </c>
      <c r="G14" t="s">
        <v>185</v>
      </c>
      <c r="H14" t="s">
        <v>22</v>
      </c>
      <c r="I14" t="s">
        <v>93</v>
      </c>
      <c r="J14" t="s">
        <v>93</v>
      </c>
      <c r="L14">
        <v>0</v>
      </c>
    </row>
    <row r="15" spans="1:17" x14ac:dyDescent="0.2">
      <c r="A15" t="s">
        <v>17</v>
      </c>
      <c r="B15">
        <v>10206002</v>
      </c>
      <c r="C15" t="s">
        <v>215</v>
      </c>
      <c r="D15">
        <v>2</v>
      </c>
      <c r="E15" t="s">
        <v>19</v>
      </c>
      <c r="F15" t="s">
        <v>216</v>
      </c>
      <c r="G15" t="s">
        <v>185</v>
      </c>
      <c r="H15" t="s">
        <v>22</v>
      </c>
      <c r="I15" t="s">
        <v>217</v>
      </c>
      <c r="J15" t="s">
        <v>218</v>
      </c>
      <c r="L15">
        <v>0</v>
      </c>
    </row>
    <row r="16" spans="1:17" x14ac:dyDescent="0.2">
      <c r="A16" t="s">
        <v>17</v>
      </c>
      <c r="B16">
        <v>10204057</v>
      </c>
      <c r="C16" t="s">
        <v>219</v>
      </c>
      <c r="D16">
        <v>1</v>
      </c>
      <c r="E16" t="s">
        <v>19</v>
      </c>
      <c r="F16" t="s">
        <v>220</v>
      </c>
      <c r="G16" t="s">
        <v>185</v>
      </c>
      <c r="H16" t="s">
        <v>22</v>
      </c>
      <c r="I16" t="s">
        <v>221</v>
      </c>
      <c r="J16" t="s">
        <v>221</v>
      </c>
      <c r="L16">
        <v>0</v>
      </c>
    </row>
    <row r="17" spans="1:12" x14ac:dyDescent="0.2">
      <c r="A17" t="s">
        <v>17</v>
      </c>
      <c r="B17">
        <v>10207058</v>
      </c>
      <c r="C17" t="s">
        <v>222</v>
      </c>
      <c r="D17">
        <v>1</v>
      </c>
      <c r="E17" t="s">
        <v>19</v>
      </c>
      <c r="F17" t="s">
        <v>223</v>
      </c>
      <c r="G17" t="s">
        <v>185</v>
      </c>
      <c r="H17" t="s">
        <v>22</v>
      </c>
      <c r="I17" t="s">
        <v>224</v>
      </c>
      <c r="J17" t="s">
        <v>224</v>
      </c>
      <c r="L17">
        <v>0</v>
      </c>
    </row>
    <row r="18" spans="1:12" x14ac:dyDescent="0.2">
      <c r="A18" t="s">
        <v>17</v>
      </c>
      <c r="B18">
        <v>10207108</v>
      </c>
      <c r="C18" t="s">
        <v>225</v>
      </c>
      <c r="D18">
        <v>1</v>
      </c>
      <c r="E18" t="s">
        <v>19</v>
      </c>
      <c r="F18" t="s">
        <v>226</v>
      </c>
      <c r="G18" t="s">
        <v>185</v>
      </c>
      <c r="H18" t="s">
        <v>22</v>
      </c>
      <c r="I18" t="s">
        <v>227</v>
      </c>
      <c r="J18" t="s">
        <v>227</v>
      </c>
      <c r="L18">
        <v>0</v>
      </c>
    </row>
    <row r="19" spans="1:12" x14ac:dyDescent="0.2">
      <c r="A19" t="s">
        <v>17</v>
      </c>
      <c r="B19">
        <v>10301566</v>
      </c>
      <c r="C19" t="s">
        <v>228</v>
      </c>
      <c r="D19">
        <v>1</v>
      </c>
      <c r="E19" t="s">
        <v>72</v>
      </c>
      <c r="F19" t="s">
        <v>229</v>
      </c>
      <c r="G19" t="s">
        <v>185</v>
      </c>
      <c r="H19" t="s">
        <v>22</v>
      </c>
      <c r="I19" t="s">
        <v>230</v>
      </c>
      <c r="J19" t="s">
        <v>230</v>
      </c>
      <c r="L19">
        <v>0</v>
      </c>
    </row>
    <row r="20" spans="1:12" x14ac:dyDescent="0.2">
      <c r="A20" t="s">
        <v>17</v>
      </c>
      <c r="B20">
        <v>10301455</v>
      </c>
      <c r="C20" t="s">
        <v>231</v>
      </c>
      <c r="D20">
        <v>0.2</v>
      </c>
      <c r="E20" t="s">
        <v>72</v>
      </c>
      <c r="F20" t="s">
        <v>232</v>
      </c>
      <c r="G20" t="s">
        <v>185</v>
      </c>
      <c r="H20" t="s">
        <v>22</v>
      </c>
      <c r="I20" t="s">
        <v>233</v>
      </c>
      <c r="J20" t="s">
        <v>234</v>
      </c>
      <c r="L20">
        <v>0</v>
      </c>
    </row>
    <row r="21" spans="1:12" x14ac:dyDescent="0.2">
      <c r="A21" t="s">
        <v>17</v>
      </c>
      <c r="B21">
        <v>10303995</v>
      </c>
      <c r="C21" t="s">
        <v>235</v>
      </c>
      <c r="D21">
        <v>1</v>
      </c>
      <c r="E21" t="s">
        <v>19</v>
      </c>
      <c r="G21" t="s">
        <v>185</v>
      </c>
      <c r="H21" t="s">
        <v>22</v>
      </c>
      <c r="I21" t="s">
        <v>236</v>
      </c>
      <c r="J21" t="s">
        <v>236</v>
      </c>
      <c r="L21">
        <v>0</v>
      </c>
    </row>
    <row r="22" spans="1:12" x14ac:dyDescent="0.2">
      <c r="A22" t="s">
        <v>17</v>
      </c>
      <c r="B22">
        <v>10310039</v>
      </c>
      <c r="C22" t="s">
        <v>51</v>
      </c>
      <c r="D22">
        <v>1</v>
      </c>
      <c r="E22" t="s">
        <v>19</v>
      </c>
      <c r="G22" t="s">
        <v>185</v>
      </c>
      <c r="H22" t="s">
        <v>22</v>
      </c>
      <c r="I22" t="s">
        <v>53</v>
      </c>
      <c r="J22" t="s">
        <v>53</v>
      </c>
      <c r="L22">
        <v>0</v>
      </c>
    </row>
    <row r="23" spans="1:12" x14ac:dyDescent="0.2">
      <c r="A23" t="s">
        <v>17</v>
      </c>
      <c r="B23">
        <v>10403230</v>
      </c>
      <c r="C23" t="s">
        <v>237</v>
      </c>
      <c r="D23">
        <v>6.5000000000000002E-2</v>
      </c>
      <c r="E23" t="s">
        <v>30</v>
      </c>
      <c r="G23" t="s">
        <v>185</v>
      </c>
      <c r="H23" t="s">
        <v>22</v>
      </c>
      <c r="I23" t="s">
        <v>238</v>
      </c>
      <c r="J23" t="s">
        <v>239</v>
      </c>
      <c r="L23">
        <v>0</v>
      </c>
    </row>
    <row r="24" spans="1:12" x14ac:dyDescent="0.2">
      <c r="A24" t="s">
        <v>17</v>
      </c>
      <c r="B24">
        <v>10403231</v>
      </c>
      <c r="C24" t="s">
        <v>240</v>
      </c>
      <c r="D24">
        <v>6.5000000000000002E-2</v>
      </c>
      <c r="E24" t="s">
        <v>30</v>
      </c>
      <c r="G24" t="s">
        <v>185</v>
      </c>
      <c r="H24" t="s">
        <v>22</v>
      </c>
      <c r="I24" t="s">
        <v>238</v>
      </c>
      <c r="J24" t="s">
        <v>239</v>
      </c>
      <c r="L24">
        <v>0</v>
      </c>
    </row>
    <row r="25" spans="1:12" x14ac:dyDescent="0.2">
      <c r="A25" t="s">
        <v>17</v>
      </c>
      <c r="B25">
        <v>10403049</v>
      </c>
      <c r="C25" t="s">
        <v>241</v>
      </c>
      <c r="D25">
        <v>1.5E-3</v>
      </c>
      <c r="E25" t="s">
        <v>30</v>
      </c>
      <c r="G25" t="s">
        <v>185</v>
      </c>
      <c r="H25" t="s">
        <v>22</v>
      </c>
      <c r="I25" t="s">
        <v>242</v>
      </c>
      <c r="J25" t="s">
        <v>243</v>
      </c>
      <c r="L25">
        <v>0</v>
      </c>
    </row>
    <row r="26" spans="1:12" x14ac:dyDescent="0.2">
      <c r="A26" t="s">
        <v>17</v>
      </c>
      <c r="B26">
        <v>10403009</v>
      </c>
      <c r="C26" t="s">
        <v>47</v>
      </c>
      <c r="D26">
        <v>1.5E-3</v>
      </c>
      <c r="E26" t="s">
        <v>30</v>
      </c>
      <c r="G26" t="s">
        <v>185</v>
      </c>
      <c r="H26" t="s">
        <v>22</v>
      </c>
      <c r="I26" t="s">
        <v>49</v>
      </c>
      <c r="J26" t="s">
        <v>244</v>
      </c>
      <c r="L26">
        <v>0</v>
      </c>
    </row>
    <row r="27" spans="1:12" x14ac:dyDescent="0.2">
      <c r="A27" t="s">
        <v>17</v>
      </c>
      <c r="B27">
        <v>10403012</v>
      </c>
      <c r="C27" t="s">
        <v>245</v>
      </c>
      <c r="D27">
        <v>1E-3</v>
      </c>
      <c r="E27" t="s">
        <v>246</v>
      </c>
      <c r="G27" t="s">
        <v>185</v>
      </c>
      <c r="H27" t="s">
        <v>22</v>
      </c>
      <c r="I27" t="s">
        <v>247</v>
      </c>
      <c r="J27" t="s">
        <v>248</v>
      </c>
      <c r="L27">
        <v>0</v>
      </c>
    </row>
    <row r="28" spans="1:12" x14ac:dyDescent="0.2">
      <c r="A28" t="s">
        <v>17</v>
      </c>
      <c r="B28">
        <v>10403030</v>
      </c>
      <c r="C28" t="s">
        <v>249</v>
      </c>
      <c r="D28">
        <v>1E-3</v>
      </c>
      <c r="E28" t="s">
        <v>246</v>
      </c>
      <c r="G28" t="s">
        <v>185</v>
      </c>
      <c r="H28" t="s">
        <v>22</v>
      </c>
      <c r="I28" t="s">
        <v>250</v>
      </c>
      <c r="J28" t="s">
        <v>251</v>
      </c>
      <c r="L28">
        <v>0</v>
      </c>
    </row>
    <row r="29" spans="1:12" x14ac:dyDescent="0.2">
      <c r="A29" t="s">
        <v>17</v>
      </c>
      <c r="B29">
        <v>10307241</v>
      </c>
      <c r="C29" t="s">
        <v>252</v>
      </c>
      <c r="D29">
        <v>1</v>
      </c>
      <c r="E29" t="s">
        <v>19</v>
      </c>
      <c r="F29" t="s">
        <v>220</v>
      </c>
      <c r="G29" t="s">
        <v>185</v>
      </c>
      <c r="H29" t="s">
        <v>22</v>
      </c>
      <c r="I29" t="s">
        <v>33</v>
      </c>
      <c r="J29" t="s">
        <v>33</v>
      </c>
      <c r="L29">
        <v>0</v>
      </c>
    </row>
    <row r="30" spans="1:12" x14ac:dyDescent="0.2">
      <c r="A30" t="s">
        <v>17</v>
      </c>
      <c r="B30">
        <v>10302145</v>
      </c>
      <c r="C30" t="s">
        <v>253</v>
      </c>
      <c r="D30">
        <v>1</v>
      </c>
      <c r="E30" t="s">
        <v>19</v>
      </c>
      <c r="G30" t="s">
        <v>185</v>
      </c>
      <c r="H30" t="s">
        <v>22</v>
      </c>
      <c r="I30" t="s">
        <v>254</v>
      </c>
      <c r="J30" t="s">
        <v>254</v>
      </c>
      <c r="L30">
        <v>0</v>
      </c>
    </row>
    <row r="31" spans="1:12" x14ac:dyDescent="0.2">
      <c r="A31" t="s">
        <v>17</v>
      </c>
      <c r="B31">
        <v>10403032</v>
      </c>
      <c r="C31" t="s">
        <v>255</v>
      </c>
      <c r="D31">
        <v>1E-3</v>
      </c>
      <c r="E31" t="s">
        <v>30</v>
      </c>
      <c r="G31" t="s">
        <v>185</v>
      </c>
      <c r="H31" t="s">
        <v>22</v>
      </c>
      <c r="I31" t="s">
        <v>256</v>
      </c>
      <c r="J31" t="s">
        <v>257</v>
      </c>
      <c r="L31">
        <v>0</v>
      </c>
    </row>
    <row r="32" spans="1:12" x14ac:dyDescent="0.2">
      <c r="A32" t="s">
        <v>17</v>
      </c>
      <c r="B32">
        <v>10306419</v>
      </c>
      <c r="C32" t="s">
        <v>78</v>
      </c>
      <c r="D32">
        <v>1</v>
      </c>
      <c r="E32" t="s">
        <v>19</v>
      </c>
      <c r="G32" t="s">
        <v>185</v>
      </c>
      <c r="H32" t="s">
        <v>22</v>
      </c>
      <c r="I32" t="s">
        <v>80</v>
      </c>
      <c r="J32" t="s">
        <v>80</v>
      </c>
      <c r="L32">
        <v>0</v>
      </c>
    </row>
    <row r="33" spans="1:12" x14ac:dyDescent="0.2">
      <c r="A33" t="s">
        <v>17</v>
      </c>
      <c r="B33">
        <v>10301165</v>
      </c>
      <c r="C33" t="s">
        <v>258</v>
      </c>
      <c r="D33">
        <v>1</v>
      </c>
      <c r="E33" t="s">
        <v>19</v>
      </c>
      <c r="G33" t="s">
        <v>185</v>
      </c>
      <c r="H33" t="s">
        <v>22</v>
      </c>
      <c r="I33" t="s">
        <v>259</v>
      </c>
      <c r="J33" t="s">
        <v>259</v>
      </c>
      <c r="L33">
        <v>0</v>
      </c>
    </row>
    <row r="34" spans="1:12" x14ac:dyDescent="0.2">
      <c r="A34" t="s">
        <v>17</v>
      </c>
      <c r="H34" t="s">
        <v>22</v>
      </c>
      <c r="L3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70BD-7808-174D-9E95-2710A16F0F1F}">
  <dimension ref="A1:Q29"/>
  <sheetViews>
    <sheetView workbookViewId="0">
      <selection sqref="A1:Q29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10102023</v>
      </c>
      <c r="C2" t="s">
        <v>105</v>
      </c>
      <c r="D2">
        <v>2</v>
      </c>
      <c r="E2" t="s">
        <v>19</v>
      </c>
      <c r="F2" t="s">
        <v>106</v>
      </c>
      <c r="G2" t="s">
        <v>107</v>
      </c>
      <c r="H2" t="s">
        <v>22</v>
      </c>
      <c r="I2" t="s">
        <v>108</v>
      </c>
      <c r="J2" t="s">
        <v>77</v>
      </c>
      <c r="L2">
        <v>0</v>
      </c>
      <c r="Q2" t="s">
        <v>109</v>
      </c>
    </row>
    <row r="3" spans="1:17" x14ac:dyDescent="0.2">
      <c r="A3" t="s">
        <v>17</v>
      </c>
      <c r="B3">
        <v>10102051</v>
      </c>
      <c r="C3" t="s">
        <v>110</v>
      </c>
      <c r="D3">
        <v>1</v>
      </c>
      <c r="E3" t="s">
        <v>19</v>
      </c>
      <c r="F3" t="s">
        <v>111</v>
      </c>
      <c r="G3" t="s">
        <v>107</v>
      </c>
      <c r="H3" t="s">
        <v>22</v>
      </c>
      <c r="I3" t="s">
        <v>108</v>
      </c>
      <c r="J3" t="s">
        <v>108</v>
      </c>
      <c r="L3">
        <v>0</v>
      </c>
      <c r="Q3" t="s">
        <v>109</v>
      </c>
    </row>
    <row r="4" spans="1:17" x14ac:dyDescent="0.2">
      <c r="A4" t="s">
        <v>17</v>
      </c>
      <c r="B4">
        <v>10102060</v>
      </c>
      <c r="C4" t="s">
        <v>112</v>
      </c>
      <c r="D4">
        <v>1</v>
      </c>
      <c r="E4" t="s">
        <v>19</v>
      </c>
      <c r="F4" t="s">
        <v>113</v>
      </c>
      <c r="G4" t="s">
        <v>107</v>
      </c>
      <c r="H4" t="s">
        <v>22</v>
      </c>
      <c r="I4" t="s">
        <v>108</v>
      </c>
      <c r="J4" t="s">
        <v>108</v>
      </c>
      <c r="L4">
        <v>0</v>
      </c>
      <c r="Q4" t="s">
        <v>109</v>
      </c>
    </row>
    <row r="5" spans="1:17" x14ac:dyDescent="0.2">
      <c r="A5" t="s">
        <v>17</v>
      </c>
      <c r="B5">
        <v>10102095</v>
      </c>
      <c r="C5" t="s">
        <v>114</v>
      </c>
      <c r="D5">
        <v>1</v>
      </c>
      <c r="E5" t="s">
        <v>19</v>
      </c>
      <c r="F5" t="s">
        <v>115</v>
      </c>
      <c r="G5" t="s">
        <v>107</v>
      </c>
      <c r="H5" t="s">
        <v>22</v>
      </c>
      <c r="I5" t="s">
        <v>108</v>
      </c>
      <c r="J5" t="s">
        <v>108</v>
      </c>
      <c r="L5">
        <v>0</v>
      </c>
      <c r="Q5" t="s">
        <v>109</v>
      </c>
    </row>
    <row r="6" spans="1:17" x14ac:dyDescent="0.2">
      <c r="A6" t="s">
        <v>17</v>
      </c>
      <c r="B6">
        <v>10102041</v>
      </c>
      <c r="C6" t="s">
        <v>116</v>
      </c>
      <c r="D6">
        <v>4</v>
      </c>
      <c r="E6" t="s">
        <v>19</v>
      </c>
      <c r="F6" t="s">
        <v>117</v>
      </c>
      <c r="G6" t="s">
        <v>107</v>
      </c>
      <c r="H6" t="s">
        <v>22</v>
      </c>
      <c r="I6" t="s">
        <v>118</v>
      </c>
      <c r="J6" t="s">
        <v>119</v>
      </c>
      <c r="L6">
        <v>0</v>
      </c>
      <c r="Q6" t="s">
        <v>109</v>
      </c>
    </row>
    <row r="7" spans="1:17" x14ac:dyDescent="0.2">
      <c r="A7" t="s">
        <v>17</v>
      </c>
      <c r="B7">
        <v>10102093</v>
      </c>
      <c r="C7" t="s">
        <v>120</v>
      </c>
      <c r="D7">
        <v>1</v>
      </c>
      <c r="E7" t="s">
        <v>19</v>
      </c>
      <c r="F7" t="s">
        <v>121</v>
      </c>
      <c r="G7" t="s">
        <v>107</v>
      </c>
      <c r="H7" t="s">
        <v>22</v>
      </c>
      <c r="I7" t="s">
        <v>108</v>
      </c>
      <c r="J7" t="s">
        <v>108</v>
      </c>
      <c r="L7">
        <v>0</v>
      </c>
      <c r="Q7" t="s">
        <v>109</v>
      </c>
    </row>
    <row r="8" spans="1:17" x14ac:dyDescent="0.2">
      <c r="A8" t="s">
        <v>17</v>
      </c>
      <c r="B8">
        <v>10102038</v>
      </c>
      <c r="C8" t="s">
        <v>122</v>
      </c>
      <c r="D8">
        <v>2</v>
      </c>
      <c r="E8" t="s">
        <v>19</v>
      </c>
      <c r="F8" t="s">
        <v>123</v>
      </c>
      <c r="G8" t="s">
        <v>107</v>
      </c>
      <c r="H8" t="s">
        <v>22</v>
      </c>
      <c r="I8" t="s">
        <v>124</v>
      </c>
      <c r="J8" t="s">
        <v>125</v>
      </c>
      <c r="L8">
        <v>0</v>
      </c>
      <c r="Q8" t="s">
        <v>109</v>
      </c>
    </row>
    <row r="9" spans="1:17" x14ac:dyDescent="0.2">
      <c r="A9" t="s">
        <v>17</v>
      </c>
      <c r="B9">
        <v>10102042</v>
      </c>
      <c r="C9" t="s">
        <v>126</v>
      </c>
      <c r="D9">
        <v>2</v>
      </c>
      <c r="E9" t="s">
        <v>19</v>
      </c>
      <c r="F9" t="s">
        <v>127</v>
      </c>
      <c r="G9" t="s">
        <v>107</v>
      </c>
      <c r="H9" t="s">
        <v>22</v>
      </c>
      <c r="I9" t="s">
        <v>108</v>
      </c>
      <c r="J9" t="s">
        <v>77</v>
      </c>
      <c r="L9">
        <v>0</v>
      </c>
      <c r="Q9" t="s">
        <v>109</v>
      </c>
    </row>
    <row r="10" spans="1:17" x14ac:dyDescent="0.2">
      <c r="A10" t="s">
        <v>17</v>
      </c>
      <c r="B10">
        <v>10102024</v>
      </c>
      <c r="C10" t="s">
        <v>128</v>
      </c>
      <c r="D10">
        <v>1</v>
      </c>
      <c r="E10" t="s">
        <v>19</v>
      </c>
      <c r="F10" t="s">
        <v>129</v>
      </c>
      <c r="G10" t="s">
        <v>107</v>
      </c>
      <c r="H10" t="s">
        <v>22</v>
      </c>
      <c r="I10" t="s">
        <v>108</v>
      </c>
      <c r="J10" t="s">
        <v>108</v>
      </c>
      <c r="L10">
        <v>0</v>
      </c>
      <c r="Q10" t="s">
        <v>109</v>
      </c>
    </row>
    <row r="11" spans="1:17" x14ac:dyDescent="0.2">
      <c r="A11" t="s">
        <v>17</v>
      </c>
      <c r="B11">
        <v>10102092</v>
      </c>
      <c r="C11" t="s">
        <v>130</v>
      </c>
      <c r="D11">
        <v>3</v>
      </c>
      <c r="E11" t="s">
        <v>19</v>
      </c>
      <c r="F11" t="s">
        <v>131</v>
      </c>
      <c r="G11" t="s">
        <v>107</v>
      </c>
      <c r="H11" t="s">
        <v>22</v>
      </c>
      <c r="I11" t="s">
        <v>108</v>
      </c>
      <c r="J11" t="s">
        <v>132</v>
      </c>
      <c r="L11">
        <v>0</v>
      </c>
      <c r="Q11" t="s">
        <v>109</v>
      </c>
    </row>
    <row r="12" spans="1:17" x14ac:dyDescent="0.2">
      <c r="A12" t="s">
        <v>17</v>
      </c>
      <c r="B12">
        <v>10102157</v>
      </c>
      <c r="C12" t="s">
        <v>133</v>
      </c>
      <c r="D12">
        <v>1</v>
      </c>
      <c r="E12" t="s">
        <v>19</v>
      </c>
      <c r="F12" t="s">
        <v>134</v>
      </c>
      <c r="G12" t="s">
        <v>107</v>
      </c>
      <c r="H12" t="s">
        <v>22</v>
      </c>
      <c r="I12" t="s">
        <v>108</v>
      </c>
      <c r="J12" t="s">
        <v>108</v>
      </c>
      <c r="L12">
        <v>0</v>
      </c>
      <c r="Q12" t="s">
        <v>109</v>
      </c>
    </row>
    <row r="13" spans="1:17" x14ac:dyDescent="0.2">
      <c r="A13" t="s">
        <v>17</v>
      </c>
      <c r="B13">
        <v>10103002</v>
      </c>
      <c r="C13" t="s">
        <v>135</v>
      </c>
      <c r="D13">
        <v>1</v>
      </c>
      <c r="E13" t="s">
        <v>19</v>
      </c>
      <c r="F13" t="s">
        <v>136</v>
      </c>
      <c r="G13" t="s">
        <v>107</v>
      </c>
      <c r="H13" t="s">
        <v>22</v>
      </c>
      <c r="I13" t="s">
        <v>137</v>
      </c>
      <c r="J13" t="s">
        <v>137</v>
      </c>
      <c r="L13">
        <v>0</v>
      </c>
      <c r="Q13" t="s">
        <v>138</v>
      </c>
    </row>
    <row r="14" spans="1:17" x14ac:dyDescent="0.2">
      <c r="A14" t="s">
        <v>17</v>
      </c>
      <c r="B14">
        <v>10103005</v>
      </c>
      <c r="C14" t="s">
        <v>139</v>
      </c>
      <c r="D14">
        <v>1</v>
      </c>
      <c r="E14" t="s">
        <v>19</v>
      </c>
      <c r="F14" t="s">
        <v>140</v>
      </c>
      <c r="G14" t="s">
        <v>107</v>
      </c>
      <c r="H14" t="s">
        <v>22</v>
      </c>
      <c r="I14" t="s">
        <v>141</v>
      </c>
      <c r="J14" t="s">
        <v>141</v>
      </c>
      <c r="L14">
        <v>0</v>
      </c>
      <c r="Q14" t="s">
        <v>138</v>
      </c>
    </row>
    <row r="15" spans="1:17" x14ac:dyDescent="0.2">
      <c r="A15" t="s">
        <v>17</v>
      </c>
      <c r="B15">
        <v>10103001</v>
      </c>
      <c r="C15" t="s">
        <v>142</v>
      </c>
      <c r="D15">
        <v>1</v>
      </c>
      <c r="E15" t="s">
        <v>19</v>
      </c>
      <c r="F15" t="s">
        <v>143</v>
      </c>
      <c r="G15" t="s">
        <v>107</v>
      </c>
      <c r="H15" t="s">
        <v>22</v>
      </c>
      <c r="I15" t="s">
        <v>66</v>
      </c>
      <c r="J15" t="s">
        <v>66</v>
      </c>
      <c r="L15">
        <v>0</v>
      </c>
      <c r="Q15" t="s">
        <v>138</v>
      </c>
    </row>
    <row r="16" spans="1:17" x14ac:dyDescent="0.2">
      <c r="A16" t="s">
        <v>17</v>
      </c>
      <c r="B16">
        <v>10105024</v>
      </c>
      <c r="C16" t="s">
        <v>144</v>
      </c>
      <c r="D16">
        <v>1</v>
      </c>
      <c r="E16" t="s">
        <v>19</v>
      </c>
      <c r="F16" t="s">
        <v>145</v>
      </c>
      <c r="G16" t="s">
        <v>107</v>
      </c>
      <c r="H16" t="s">
        <v>22</v>
      </c>
      <c r="I16" t="s">
        <v>146</v>
      </c>
      <c r="J16" t="s">
        <v>146</v>
      </c>
      <c r="L16">
        <v>0</v>
      </c>
      <c r="Q16" t="s">
        <v>147</v>
      </c>
    </row>
    <row r="17" spans="1:17" x14ac:dyDescent="0.2">
      <c r="A17" t="s">
        <v>17</v>
      </c>
      <c r="B17">
        <v>10104001</v>
      </c>
      <c r="C17" t="s">
        <v>148</v>
      </c>
      <c r="D17">
        <v>2</v>
      </c>
      <c r="E17" t="s">
        <v>19</v>
      </c>
      <c r="F17" t="s">
        <v>149</v>
      </c>
      <c r="G17" t="s">
        <v>107</v>
      </c>
      <c r="H17" t="s">
        <v>22</v>
      </c>
      <c r="I17" t="s">
        <v>150</v>
      </c>
      <c r="J17" t="s">
        <v>151</v>
      </c>
      <c r="L17">
        <v>0</v>
      </c>
      <c r="Q17" t="s">
        <v>152</v>
      </c>
    </row>
    <row r="18" spans="1:17" x14ac:dyDescent="0.2">
      <c r="A18" t="s">
        <v>17</v>
      </c>
      <c r="B18">
        <v>10104028</v>
      </c>
      <c r="C18" t="s">
        <v>153</v>
      </c>
      <c r="D18">
        <v>2</v>
      </c>
      <c r="E18" t="s">
        <v>19</v>
      </c>
      <c r="F18" t="s">
        <v>154</v>
      </c>
      <c r="G18" t="s">
        <v>107</v>
      </c>
      <c r="H18" t="s">
        <v>22</v>
      </c>
      <c r="I18" t="s">
        <v>155</v>
      </c>
      <c r="J18" t="s">
        <v>87</v>
      </c>
      <c r="L18">
        <v>0</v>
      </c>
      <c r="Q18" t="s">
        <v>152</v>
      </c>
    </row>
    <row r="19" spans="1:17" x14ac:dyDescent="0.2">
      <c r="A19" t="s">
        <v>17</v>
      </c>
      <c r="B19">
        <v>10104007</v>
      </c>
      <c r="C19" t="s">
        <v>156</v>
      </c>
      <c r="D19">
        <v>1</v>
      </c>
      <c r="E19" t="s">
        <v>19</v>
      </c>
      <c r="F19" t="s">
        <v>157</v>
      </c>
      <c r="G19" t="s">
        <v>107</v>
      </c>
      <c r="H19" t="s">
        <v>22</v>
      </c>
      <c r="I19" t="s">
        <v>158</v>
      </c>
      <c r="J19" t="s">
        <v>158</v>
      </c>
      <c r="L19">
        <v>0</v>
      </c>
      <c r="Q19" t="s">
        <v>152</v>
      </c>
    </row>
    <row r="20" spans="1:17" x14ac:dyDescent="0.2">
      <c r="A20" t="s">
        <v>17</v>
      </c>
      <c r="B20">
        <v>10104027</v>
      </c>
      <c r="C20" t="s">
        <v>159</v>
      </c>
      <c r="D20">
        <v>1</v>
      </c>
      <c r="E20" t="s">
        <v>19</v>
      </c>
      <c r="F20" t="s">
        <v>160</v>
      </c>
      <c r="G20" t="s">
        <v>107</v>
      </c>
      <c r="H20" t="s">
        <v>22</v>
      </c>
      <c r="I20" t="s">
        <v>161</v>
      </c>
      <c r="J20" t="s">
        <v>161</v>
      </c>
      <c r="L20">
        <v>0</v>
      </c>
      <c r="Q20" t="s">
        <v>152</v>
      </c>
    </row>
    <row r="21" spans="1:17" x14ac:dyDescent="0.2">
      <c r="A21" t="s">
        <v>17</v>
      </c>
      <c r="B21">
        <v>10403016</v>
      </c>
      <c r="C21" t="s">
        <v>162</v>
      </c>
      <c r="D21">
        <v>2E-3</v>
      </c>
      <c r="E21" t="s">
        <v>163</v>
      </c>
      <c r="G21" t="s">
        <v>107</v>
      </c>
      <c r="H21" t="s">
        <v>22</v>
      </c>
      <c r="I21" t="s">
        <v>164</v>
      </c>
      <c r="J21" t="s">
        <v>165</v>
      </c>
      <c r="L21">
        <v>0</v>
      </c>
    </row>
    <row r="22" spans="1:17" x14ac:dyDescent="0.2">
      <c r="A22" t="s">
        <v>17</v>
      </c>
      <c r="B22">
        <v>10201225</v>
      </c>
      <c r="C22" t="s">
        <v>166</v>
      </c>
      <c r="D22">
        <v>1</v>
      </c>
      <c r="E22" t="s">
        <v>19</v>
      </c>
      <c r="G22" t="s">
        <v>107</v>
      </c>
      <c r="H22" t="s">
        <v>22</v>
      </c>
      <c r="I22" t="s">
        <v>167</v>
      </c>
      <c r="J22" t="s">
        <v>167</v>
      </c>
      <c r="L22">
        <v>0</v>
      </c>
    </row>
    <row r="23" spans="1:17" x14ac:dyDescent="0.2">
      <c r="A23" t="s">
        <v>17</v>
      </c>
      <c r="B23">
        <v>10102112</v>
      </c>
      <c r="C23" t="s">
        <v>168</v>
      </c>
      <c r="D23">
        <v>3</v>
      </c>
      <c r="E23" t="s">
        <v>19</v>
      </c>
      <c r="F23" t="s">
        <v>169</v>
      </c>
      <c r="G23" t="s">
        <v>107</v>
      </c>
      <c r="H23" t="s">
        <v>22</v>
      </c>
      <c r="I23" t="s">
        <v>170</v>
      </c>
      <c r="J23" t="s">
        <v>171</v>
      </c>
      <c r="L23">
        <v>0</v>
      </c>
    </row>
    <row r="24" spans="1:17" x14ac:dyDescent="0.2">
      <c r="A24" t="s">
        <v>17</v>
      </c>
      <c r="B24">
        <v>10102006</v>
      </c>
      <c r="C24" t="s">
        <v>172</v>
      </c>
      <c r="D24">
        <v>1</v>
      </c>
      <c r="E24" t="s">
        <v>19</v>
      </c>
      <c r="F24" t="s">
        <v>173</v>
      </c>
      <c r="G24" t="s">
        <v>107</v>
      </c>
      <c r="H24" t="s">
        <v>22</v>
      </c>
      <c r="I24" t="s">
        <v>174</v>
      </c>
      <c r="J24" t="s">
        <v>174</v>
      </c>
      <c r="L24">
        <v>0</v>
      </c>
    </row>
    <row r="25" spans="1:17" x14ac:dyDescent="0.2">
      <c r="A25" t="s">
        <v>17</v>
      </c>
      <c r="B25">
        <v>10102016</v>
      </c>
      <c r="C25" t="s">
        <v>175</v>
      </c>
      <c r="D25">
        <v>2</v>
      </c>
      <c r="E25" t="s">
        <v>19</v>
      </c>
      <c r="F25" t="s">
        <v>176</v>
      </c>
      <c r="G25" t="s">
        <v>107</v>
      </c>
      <c r="H25" t="s">
        <v>22</v>
      </c>
      <c r="I25" t="s">
        <v>108</v>
      </c>
      <c r="J25" t="s">
        <v>77</v>
      </c>
      <c r="L25">
        <v>0</v>
      </c>
    </row>
    <row r="26" spans="1:17" x14ac:dyDescent="0.2">
      <c r="A26" t="s">
        <v>17</v>
      </c>
      <c r="B26">
        <v>10102014</v>
      </c>
      <c r="C26" t="s">
        <v>177</v>
      </c>
      <c r="D26">
        <v>1</v>
      </c>
      <c r="E26" t="s">
        <v>19</v>
      </c>
      <c r="F26" t="s">
        <v>178</v>
      </c>
      <c r="G26" t="s">
        <v>107</v>
      </c>
      <c r="H26" t="s">
        <v>22</v>
      </c>
      <c r="I26" t="s">
        <v>108</v>
      </c>
      <c r="J26" t="s">
        <v>108</v>
      </c>
      <c r="L26">
        <v>0</v>
      </c>
    </row>
    <row r="27" spans="1:17" x14ac:dyDescent="0.2">
      <c r="A27" t="s">
        <v>17</v>
      </c>
      <c r="B27">
        <v>10102015</v>
      </c>
      <c r="C27" t="s">
        <v>179</v>
      </c>
      <c r="D27">
        <v>1</v>
      </c>
      <c r="E27" t="s">
        <v>19</v>
      </c>
      <c r="F27" t="s">
        <v>180</v>
      </c>
      <c r="G27" t="s">
        <v>107</v>
      </c>
      <c r="H27" t="s">
        <v>22</v>
      </c>
      <c r="I27" t="s">
        <v>108</v>
      </c>
      <c r="J27" t="s">
        <v>108</v>
      </c>
      <c r="L27">
        <v>0</v>
      </c>
    </row>
    <row r="28" spans="1:17" x14ac:dyDescent="0.2">
      <c r="A28" t="s">
        <v>17</v>
      </c>
      <c r="B28">
        <v>10104004</v>
      </c>
      <c r="C28" t="s">
        <v>181</v>
      </c>
      <c r="D28">
        <v>1</v>
      </c>
      <c r="E28" t="s">
        <v>19</v>
      </c>
      <c r="F28" t="s">
        <v>182</v>
      </c>
      <c r="G28" t="s">
        <v>107</v>
      </c>
      <c r="H28" t="s">
        <v>183</v>
      </c>
      <c r="L28">
        <v>0</v>
      </c>
    </row>
    <row r="29" spans="1:17" x14ac:dyDescent="0.2">
      <c r="A29" t="s">
        <v>17</v>
      </c>
      <c r="H29" t="s">
        <v>22</v>
      </c>
      <c r="L2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96C6F-44F5-8148-BE46-EA674B2FA74E}">
  <dimension ref="A1:Q6"/>
  <sheetViews>
    <sheetView workbookViewId="0">
      <selection activeCell="C9" sqref="C9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10106150</v>
      </c>
      <c r="C2" t="s">
        <v>260</v>
      </c>
      <c r="D2">
        <v>48</v>
      </c>
      <c r="E2" t="s">
        <v>19</v>
      </c>
      <c r="F2" t="s">
        <v>261</v>
      </c>
      <c r="G2" t="s">
        <v>107</v>
      </c>
      <c r="H2" t="s">
        <v>22</v>
      </c>
      <c r="I2" t="s">
        <v>43</v>
      </c>
      <c r="J2" t="s">
        <v>262</v>
      </c>
      <c r="L2">
        <v>0</v>
      </c>
      <c r="Q2" t="s">
        <v>21</v>
      </c>
    </row>
    <row r="3" spans="1:17" x14ac:dyDescent="0.2">
      <c r="A3" t="s">
        <v>17</v>
      </c>
      <c r="B3">
        <v>10101587</v>
      </c>
      <c r="C3" t="s">
        <v>263</v>
      </c>
      <c r="D3">
        <v>1</v>
      </c>
      <c r="E3" t="s">
        <v>19</v>
      </c>
      <c r="G3" t="s">
        <v>107</v>
      </c>
      <c r="H3" t="s">
        <v>22</v>
      </c>
      <c r="I3" t="s">
        <v>264</v>
      </c>
      <c r="J3" t="s">
        <v>264</v>
      </c>
      <c r="L3">
        <v>0</v>
      </c>
    </row>
    <row r="4" spans="1:17" x14ac:dyDescent="0.2">
      <c r="A4" t="s">
        <v>17</v>
      </c>
      <c r="B4">
        <v>10403005</v>
      </c>
      <c r="C4" t="s">
        <v>265</v>
      </c>
      <c r="D4">
        <v>1E-3</v>
      </c>
      <c r="E4" t="s">
        <v>30</v>
      </c>
      <c r="G4" t="s">
        <v>107</v>
      </c>
      <c r="H4" t="s">
        <v>22</v>
      </c>
      <c r="I4" t="s">
        <v>266</v>
      </c>
      <c r="J4" t="s">
        <v>267</v>
      </c>
      <c r="L4">
        <v>0</v>
      </c>
    </row>
    <row r="5" spans="1:17" x14ac:dyDescent="0.2">
      <c r="A5" t="s">
        <v>17</v>
      </c>
      <c r="B5">
        <v>10306419</v>
      </c>
      <c r="C5" t="s">
        <v>78</v>
      </c>
      <c r="D5">
        <v>1</v>
      </c>
      <c r="E5" t="s">
        <v>19</v>
      </c>
      <c r="F5" t="s">
        <v>79</v>
      </c>
      <c r="G5" t="s">
        <v>107</v>
      </c>
      <c r="H5" t="s">
        <v>22</v>
      </c>
      <c r="I5" t="s">
        <v>268</v>
      </c>
      <c r="J5" t="s">
        <v>268</v>
      </c>
      <c r="L5">
        <v>0</v>
      </c>
    </row>
    <row r="6" spans="1:17" x14ac:dyDescent="0.2">
      <c r="A6" t="s">
        <v>17</v>
      </c>
      <c r="H6" t="s">
        <v>22</v>
      </c>
      <c r="L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BE1B3-59F5-F244-B197-AF7770F65040}">
  <dimension ref="A1:Q3"/>
  <sheetViews>
    <sheetView workbookViewId="0">
      <selection sqref="A1:R4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20102629</v>
      </c>
      <c r="C2" t="s">
        <v>269</v>
      </c>
      <c r="D2">
        <v>1</v>
      </c>
      <c r="E2" t="s">
        <v>19</v>
      </c>
      <c r="G2" t="s">
        <v>270</v>
      </c>
      <c r="H2" t="s">
        <v>22</v>
      </c>
      <c r="L2">
        <v>0</v>
      </c>
    </row>
    <row r="3" spans="1:17" x14ac:dyDescent="0.2">
      <c r="A3" t="s">
        <v>17</v>
      </c>
      <c r="H3" t="s">
        <v>22</v>
      </c>
      <c r="L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28F2-491E-4947-87E5-6D73B7AF2CC4}">
  <dimension ref="A1:Q3"/>
  <sheetViews>
    <sheetView workbookViewId="0">
      <selection sqref="A1:R4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10309149</v>
      </c>
      <c r="C2" t="s">
        <v>271</v>
      </c>
      <c r="D2">
        <v>1</v>
      </c>
      <c r="E2" t="s">
        <v>19</v>
      </c>
      <c r="G2" t="s">
        <v>21</v>
      </c>
      <c r="H2" t="s">
        <v>22</v>
      </c>
      <c r="L2">
        <v>0</v>
      </c>
    </row>
    <row r="3" spans="1:17" x14ac:dyDescent="0.2">
      <c r="A3" t="s">
        <v>17</v>
      </c>
      <c r="H3" t="s">
        <v>22</v>
      </c>
      <c r="L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7B9A-0B55-A340-9867-F367969D9236}">
  <dimension ref="A1:Q30"/>
  <sheetViews>
    <sheetView workbookViewId="0">
      <selection sqref="A1:R31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20603160</v>
      </c>
      <c r="C2" t="s">
        <v>272</v>
      </c>
      <c r="D2">
        <v>1</v>
      </c>
      <c r="E2" t="s">
        <v>19</v>
      </c>
      <c r="G2" t="s">
        <v>21</v>
      </c>
      <c r="H2" t="s">
        <v>22</v>
      </c>
      <c r="I2" t="s">
        <v>273</v>
      </c>
      <c r="J2" t="s">
        <v>273</v>
      </c>
      <c r="L2">
        <v>0</v>
      </c>
    </row>
    <row r="3" spans="1:17" x14ac:dyDescent="0.2">
      <c r="A3" t="s">
        <v>17</v>
      </c>
      <c r="B3">
        <v>20203354</v>
      </c>
      <c r="C3" t="s">
        <v>26</v>
      </c>
      <c r="D3">
        <v>1</v>
      </c>
      <c r="E3" t="s">
        <v>19</v>
      </c>
      <c r="G3" t="s">
        <v>21</v>
      </c>
      <c r="H3" t="s">
        <v>22</v>
      </c>
      <c r="I3" t="s">
        <v>274</v>
      </c>
      <c r="J3" t="s">
        <v>274</v>
      </c>
      <c r="L3">
        <v>0</v>
      </c>
    </row>
    <row r="4" spans="1:17" x14ac:dyDescent="0.2">
      <c r="A4" t="s">
        <v>17</v>
      </c>
      <c r="B4">
        <v>10310001</v>
      </c>
      <c r="C4" t="s">
        <v>54</v>
      </c>
      <c r="D4">
        <v>1</v>
      </c>
      <c r="E4" t="s">
        <v>19</v>
      </c>
      <c r="G4" t="s">
        <v>21</v>
      </c>
      <c r="H4" t="s">
        <v>22</v>
      </c>
      <c r="I4" t="s">
        <v>56</v>
      </c>
      <c r="J4" t="s">
        <v>56</v>
      </c>
      <c r="L4">
        <v>0</v>
      </c>
    </row>
    <row r="5" spans="1:17" x14ac:dyDescent="0.2">
      <c r="A5" t="s">
        <v>17</v>
      </c>
      <c r="B5">
        <v>10304118</v>
      </c>
      <c r="C5" t="s">
        <v>88</v>
      </c>
      <c r="D5">
        <v>1</v>
      </c>
      <c r="E5" t="s">
        <v>19</v>
      </c>
      <c r="G5" t="s">
        <v>21</v>
      </c>
      <c r="H5" t="s">
        <v>22</v>
      </c>
      <c r="I5" t="s">
        <v>90</v>
      </c>
      <c r="J5" t="s">
        <v>90</v>
      </c>
      <c r="L5">
        <v>0</v>
      </c>
    </row>
    <row r="6" spans="1:17" x14ac:dyDescent="0.2">
      <c r="A6" t="s">
        <v>17</v>
      </c>
      <c r="B6">
        <v>10308588</v>
      </c>
      <c r="C6" t="s">
        <v>61</v>
      </c>
      <c r="D6">
        <v>8.3299999999999999E-2</v>
      </c>
      <c r="E6" t="s">
        <v>19</v>
      </c>
      <c r="F6" t="s">
        <v>38</v>
      </c>
      <c r="G6" t="s">
        <v>21</v>
      </c>
      <c r="H6" t="s">
        <v>22</v>
      </c>
      <c r="I6" t="s">
        <v>62</v>
      </c>
      <c r="J6" t="s">
        <v>63</v>
      </c>
      <c r="L6">
        <v>0</v>
      </c>
    </row>
    <row r="7" spans="1:17" x14ac:dyDescent="0.2">
      <c r="A7" t="s">
        <v>17</v>
      </c>
      <c r="B7">
        <v>10308589</v>
      </c>
      <c r="C7" t="s">
        <v>59</v>
      </c>
      <c r="D7">
        <v>1</v>
      </c>
      <c r="E7" t="s">
        <v>19</v>
      </c>
      <c r="F7" t="s">
        <v>38</v>
      </c>
      <c r="G7" t="s">
        <v>21</v>
      </c>
      <c r="H7" t="s">
        <v>22</v>
      </c>
      <c r="I7" t="s">
        <v>275</v>
      </c>
      <c r="J7" t="s">
        <v>275</v>
      </c>
      <c r="L7">
        <v>0</v>
      </c>
    </row>
    <row r="8" spans="1:17" x14ac:dyDescent="0.2">
      <c r="A8" t="s">
        <v>17</v>
      </c>
      <c r="B8">
        <v>10308590</v>
      </c>
      <c r="C8" t="s">
        <v>57</v>
      </c>
      <c r="D8">
        <v>1</v>
      </c>
      <c r="E8" t="s">
        <v>19</v>
      </c>
      <c r="F8" t="s">
        <v>38</v>
      </c>
      <c r="G8" t="s">
        <v>21</v>
      </c>
      <c r="H8" t="s">
        <v>22</v>
      </c>
      <c r="I8" t="s">
        <v>58</v>
      </c>
      <c r="J8" t="s">
        <v>58</v>
      </c>
      <c r="L8">
        <v>0</v>
      </c>
    </row>
    <row r="9" spans="1:17" x14ac:dyDescent="0.2">
      <c r="A9" t="s">
        <v>17</v>
      </c>
      <c r="B9">
        <v>10302449</v>
      </c>
      <c r="C9" t="s">
        <v>96</v>
      </c>
      <c r="D9">
        <v>4</v>
      </c>
      <c r="E9" t="s">
        <v>19</v>
      </c>
      <c r="F9" t="s">
        <v>97</v>
      </c>
      <c r="G9" t="s">
        <v>21</v>
      </c>
      <c r="H9" t="s">
        <v>22</v>
      </c>
      <c r="I9" t="s">
        <v>66</v>
      </c>
      <c r="J9" t="s">
        <v>98</v>
      </c>
      <c r="L9">
        <v>0</v>
      </c>
    </row>
    <row r="10" spans="1:17" x14ac:dyDescent="0.2">
      <c r="A10" t="s">
        <v>17</v>
      </c>
      <c r="B10">
        <v>10307261</v>
      </c>
      <c r="C10" t="s">
        <v>64</v>
      </c>
      <c r="D10">
        <v>11</v>
      </c>
      <c r="E10" t="s">
        <v>19</v>
      </c>
      <c r="F10" t="s">
        <v>65</v>
      </c>
      <c r="G10" t="s">
        <v>21</v>
      </c>
      <c r="H10" t="s">
        <v>22</v>
      </c>
      <c r="I10" t="s">
        <v>66</v>
      </c>
      <c r="J10" t="s">
        <v>67</v>
      </c>
      <c r="L10">
        <v>0</v>
      </c>
    </row>
    <row r="11" spans="1:17" x14ac:dyDescent="0.2">
      <c r="A11" t="s">
        <v>17</v>
      </c>
      <c r="B11">
        <v>10310039</v>
      </c>
      <c r="C11" t="s">
        <v>51</v>
      </c>
      <c r="D11">
        <v>1</v>
      </c>
      <c r="E11" t="s">
        <v>19</v>
      </c>
      <c r="F11" t="s">
        <v>52</v>
      </c>
      <c r="G11" t="s">
        <v>21</v>
      </c>
      <c r="H11" t="s">
        <v>22</v>
      </c>
      <c r="I11" t="s">
        <v>53</v>
      </c>
      <c r="J11" t="s">
        <v>53</v>
      </c>
      <c r="L11">
        <v>0</v>
      </c>
    </row>
    <row r="12" spans="1:17" x14ac:dyDescent="0.2">
      <c r="A12" t="s">
        <v>17</v>
      </c>
      <c r="B12">
        <v>10306354</v>
      </c>
      <c r="C12" t="s">
        <v>84</v>
      </c>
      <c r="D12">
        <v>1</v>
      </c>
      <c r="E12" t="s">
        <v>19</v>
      </c>
      <c r="F12" t="s">
        <v>38</v>
      </c>
      <c r="G12" t="s">
        <v>21</v>
      </c>
      <c r="H12" t="s">
        <v>22</v>
      </c>
      <c r="I12" t="s">
        <v>83</v>
      </c>
      <c r="J12" t="s">
        <v>83</v>
      </c>
      <c r="L12">
        <v>0</v>
      </c>
    </row>
    <row r="13" spans="1:17" x14ac:dyDescent="0.2">
      <c r="A13" t="s">
        <v>17</v>
      </c>
      <c r="B13">
        <v>10403018</v>
      </c>
      <c r="C13" t="s">
        <v>44</v>
      </c>
      <c r="D13">
        <v>0.25</v>
      </c>
      <c r="E13" t="s">
        <v>19</v>
      </c>
      <c r="F13" t="s">
        <v>38</v>
      </c>
      <c r="G13" t="s">
        <v>21</v>
      </c>
      <c r="H13" t="s">
        <v>22</v>
      </c>
      <c r="I13" t="s">
        <v>45</v>
      </c>
      <c r="J13" t="s">
        <v>46</v>
      </c>
      <c r="L13">
        <v>0</v>
      </c>
    </row>
    <row r="14" spans="1:17" x14ac:dyDescent="0.2">
      <c r="A14" t="s">
        <v>17</v>
      </c>
      <c r="B14">
        <v>10403075</v>
      </c>
      <c r="C14" t="s">
        <v>41</v>
      </c>
      <c r="D14">
        <v>1</v>
      </c>
      <c r="E14" t="s">
        <v>19</v>
      </c>
      <c r="F14" t="s">
        <v>42</v>
      </c>
      <c r="G14" t="s">
        <v>21</v>
      </c>
      <c r="H14" t="s">
        <v>22</v>
      </c>
      <c r="I14" t="s">
        <v>43</v>
      </c>
      <c r="J14" t="s">
        <v>43</v>
      </c>
      <c r="L14">
        <v>0</v>
      </c>
    </row>
    <row r="15" spans="1:17" x14ac:dyDescent="0.2">
      <c r="A15" t="s">
        <v>17</v>
      </c>
      <c r="B15">
        <v>10403009</v>
      </c>
      <c r="C15" t="s">
        <v>47</v>
      </c>
      <c r="D15">
        <v>1E-4</v>
      </c>
      <c r="E15" t="s">
        <v>30</v>
      </c>
      <c r="F15" t="s">
        <v>48</v>
      </c>
      <c r="G15" t="s">
        <v>21</v>
      </c>
      <c r="H15" t="s">
        <v>22</v>
      </c>
      <c r="I15" t="s">
        <v>276</v>
      </c>
      <c r="J15" t="s">
        <v>277</v>
      </c>
      <c r="L15">
        <v>0</v>
      </c>
    </row>
    <row r="16" spans="1:17" x14ac:dyDescent="0.2">
      <c r="A16" t="s">
        <v>17</v>
      </c>
      <c r="B16">
        <v>10403086</v>
      </c>
      <c r="C16" t="s">
        <v>37</v>
      </c>
      <c r="D16">
        <v>2.1999999999999999E-2</v>
      </c>
      <c r="E16" t="s">
        <v>19</v>
      </c>
      <c r="F16" t="s">
        <v>38</v>
      </c>
      <c r="G16" t="s">
        <v>21</v>
      </c>
      <c r="H16" t="s">
        <v>22</v>
      </c>
      <c r="I16" t="s">
        <v>39</v>
      </c>
      <c r="J16" t="s">
        <v>40</v>
      </c>
      <c r="L16">
        <v>0</v>
      </c>
    </row>
    <row r="17" spans="1:12" x14ac:dyDescent="0.2">
      <c r="A17" t="s">
        <v>17</v>
      </c>
      <c r="B17">
        <v>20405376</v>
      </c>
      <c r="C17" t="s">
        <v>278</v>
      </c>
      <c r="D17">
        <v>1</v>
      </c>
      <c r="E17" t="s">
        <v>19</v>
      </c>
      <c r="G17" t="s">
        <v>21</v>
      </c>
      <c r="H17" t="s">
        <v>22</v>
      </c>
      <c r="I17" t="s">
        <v>279</v>
      </c>
      <c r="J17" t="s">
        <v>279</v>
      </c>
      <c r="L17">
        <v>0</v>
      </c>
    </row>
    <row r="18" spans="1:12" x14ac:dyDescent="0.2">
      <c r="A18" t="s">
        <v>17</v>
      </c>
      <c r="B18">
        <v>10302319</v>
      </c>
      <c r="C18" t="s">
        <v>102</v>
      </c>
      <c r="D18">
        <v>1</v>
      </c>
      <c r="E18" t="s">
        <v>19</v>
      </c>
      <c r="F18" t="s">
        <v>103</v>
      </c>
      <c r="G18" t="s">
        <v>21</v>
      </c>
      <c r="H18" t="s">
        <v>22</v>
      </c>
      <c r="I18" t="s">
        <v>280</v>
      </c>
      <c r="J18" t="s">
        <v>280</v>
      </c>
      <c r="L18">
        <v>0</v>
      </c>
    </row>
    <row r="19" spans="1:12" x14ac:dyDescent="0.2">
      <c r="A19" t="s">
        <v>17</v>
      </c>
      <c r="B19">
        <v>10306285</v>
      </c>
      <c r="C19" t="s">
        <v>85</v>
      </c>
      <c r="D19">
        <v>1</v>
      </c>
      <c r="E19" t="s">
        <v>19</v>
      </c>
      <c r="F19" t="s">
        <v>86</v>
      </c>
      <c r="G19" t="s">
        <v>21</v>
      </c>
      <c r="H19" t="s">
        <v>22</v>
      </c>
      <c r="I19" t="s">
        <v>87</v>
      </c>
      <c r="J19" t="s">
        <v>87</v>
      </c>
      <c r="L19">
        <v>0</v>
      </c>
    </row>
    <row r="20" spans="1:12" x14ac:dyDescent="0.2">
      <c r="A20" t="s">
        <v>17</v>
      </c>
      <c r="B20">
        <v>10303283</v>
      </c>
      <c r="C20" t="s">
        <v>91</v>
      </c>
      <c r="D20">
        <v>1</v>
      </c>
      <c r="E20" t="s">
        <v>19</v>
      </c>
      <c r="F20" t="s">
        <v>92</v>
      </c>
      <c r="G20" t="s">
        <v>21</v>
      </c>
      <c r="H20" t="s">
        <v>22</v>
      </c>
      <c r="I20" t="s">
        <v>93</v>
      </c>
      <c r="J20" t="s">
        <v>93</v>
      </c>
      <c r="L20">
        <v>0</v>
      </c>
    </row>
    <row r="21" spans="1:12" x14ac:dyDescent="0.2">
      <c r="A21" t="s">
        <v>17</v>
      </c>
      <c r="B21">
        <v>10302349</v>
      </c>
      <c r="C21" t="s">
        <v>99</v>
      </c>
      <c r="D21">
        <v>1</v>
      </c>
      <c r="E21" t="s">
        <v>19</v>
      </c>
      <c r="F21" t="s">
        <v>100</v>
      </c>
      <c r="G21" t="s">
        <v>21</v>
      </c>
      <c r="H21" t="s">
        <v>22</v>
      </c>
      <c r="I21" t="s">
        <v>101</v>
      </c>
      <c r="J21" t="s">
        <v>101</v>
      </c>
      <c r="L21">
        <v>0</v>
      </c>
    </row>
    <row r="22" spans="1:12" x14ac:dyDescent="0.2">
      <c r="A22" t="s">
        <v>17</v>
      </c>
      <c r="B22">
        <v>10302735</v>
      </c>
      <c r="C22" t="s">
        <v>94</v>
      </c>
      <c r="D22">
        <v>1</v>
      </c>
      <c r="E22" t="s">
        <v>19</v>
      </c>
      <c r="F22" t="s">
        <v>95</v>
      </c>
      <c r="G22" t="s">
        <v>21</v>
      </c>
      <c r="H22" t="s">
        <v>22</v>
      </c>
      <c r="I22" t="s">
        <v>87</v>
      </c>
      <c r="J22" t="s">
        <v>87</v>
      </c>
      <c r="L22">
        <v>0</v>
      </c>
    </row>
    <row r="23" spans="1:12" x14ac:dyDescent="0.2">
      <c r="A23" t="s">
        <v>17</v>
      </c>
      <c r="B23">
        <v>10306416</v>
      </c>
      <c r="C23" t="s">
        <v>81</v>
      </c>
      <c r="D23">
        <v>2</v>
      </c>
      <c r="E23" t="s">
        <v>19</v>
      </c>
      <c r="G23" t="s">
        <v>21</v>
      </c>
      <c r="H23" t="s">
        <v>22</v>
      </c>
      <c r="I23" t="s">
        <v>83</v>
      </c>
      <c r="J23" t="s">
        <v>281</v>
      </c>
      <c r="L23">
        <v>0</v>
      </c>
    </row>
    <row r="24" spans="1:12" x14ac:dyDescent="0.2">
      <c r="A24" t="s">
        <v>17</v>
      </c>
      <c r="B24">
        <v>10306626</v>
      </c>
      <c r="C24" t="s">
        <v>75</v>
      </c>
      <c r="D24">
        <v>1</v>
      </c>
      <c r="E24" t="s">
        <v>19</v>
      </c>
      <c r="F24" t="s">
        <v>76</v>
      </c>
      <c r="G24" t="s">
        <v>21</v>
      </c>
      <c r="H24" t="s">
        <v>22</v>
      </c>
      <c r="I24" t="s">
        <v>77</v>
      </c>
      <c r="J24" t="s">
        <v>77</v>
      </c>
      <c r="L24">
        <v>0</v>
      </c>
    </row>
    <row r="25" spans="1:12" x14ac:dyDescent="0.2">
      <c r="A25" t="s">
        <v>17</v>
      </c>
      <c r="B25">
        <v>10306887</v>
      </c>
      <c r="C25" t="s">
        <v>68</v>
      </c>
      <c r="D25">
        <v>1</v>
      </c>
      <c r="E25" t="s">
        <v>19</v>
      </c>
      <c r="F25" t="s">
        <v>69</v>
      </c>
      <c r="G25" t="s">
        <v>21</v>
      </c>
      <c r="H25" t="s">
        <v>22</v>
      </c>
      <c r="I25" t="s">
        <v>70</v>
      </c>
      <c r="J25" t="s">
        <v>70</v>
      </c>
      <c r="L25">
        <v>0</v>
      </c>
    </row>
    <row r="26" spans="1:12" x14ac:dyDescent="0.2">
      <c r="A26" t="s">
        <v>17</v>
      </c>
      <c r="B26">
        <v>10306419</v>
      </c>
      <c r="C26" t="s">
        <v>78</v>
      </c>
      <c r="D26">
        <v>1</v>
      </c>
      <c r="E26" t="s">
        <v>19</v>
      </c>
      <c r="F26" t="s">
        <v>79</v>
      </c>
      <c r="G26" t="s">
        <v>21</v>
      </c>
      <c r="H26" t="s">
        <v>22</v>
      </c>
      <c r="I26" t="s">
        <v>80</v>
      </c>
      <c r="J26" t="s">
        <v>80</v>
      </c>
      <c r="L26">
        <v>0</v>
      </c>
    </row>
    <row r="27" spans="1:12" x14ac:dyDescent="0.2">
      <c r="A27" t="s">
        <v>17</v>
      </c>
      <c r="B27">
        <v>10403110</v>
      </c>
      <c r="C27" t="s">
        <v>34</v>
      </c>
      <c r="D27">
        <v>1</v>
      </c>
      <c r="E27" t="s">
        <v>19</v>
      </c>
      <c r="F27" t="s">
        <v>35</v>
      </c>
      <c r="G27" t="s">
        <v>21</v>
      </c>
      <c r="H27" t="s">
        <v>22</v>
      </c>
      <c r="I27" t="s">
        <v>36</v>
      </c>
      <c r="J27" t="s">
        <v>36</v>
      </c>
      <c r="L27">
        <v>0</v>
      </c>
    </row>
    <row r="28" spans="1:12" x14ac:dyDescent="0.2">
      <c r="A28" t="s">
        <v>17</v>
      </c>
      <c r="B28">
        <v>10306708</v>
      </c>
      <c r="C28" t="s">
        <v>71</v>
      </c>
      <c r="D28">
        <v>1</v>
      </c>
      <c r="E28" t="s">
        <v>72</v>
      </c>
      <c r="F28" t="s">
        <v>282</v>
      </c>
      <c r="G28" t="s">
        <v>21</v>
      </c>
      <c r="H28" t="s">
        <v>22</v>
      </c>
      <c r="I28" t="s">
        <v>73</v>
      </c>
      <c r="J28" t="s">
        <v>73</v>
      </c>
      <c r="L28">
        <v>0</v>
      </c>
    </row>
    <row r="29" spans="1:12" x14ac:dyDescent="0.2">
      <c r="A29" t="s">
        <v>17</v>
      </c>
      <c r="B29">
        <v>10403235</v>
      </c>
      <c r="C29" t="s">
        <v>29</v>
      </c>
      <c r="D29">
        <v>8.8000000000000003E-4</v>
      </c>
      <c r="E29" t="s">
        <v>30</v>
      </c>
      <c r="G29" t="s">
        <v>21</v>
      </c>
      <c r="H29" t="s">
        <v>183</v>
      </c>
      <c r="L29">
        <v>0</v>
      </c>
    </row>
    <row r="30" spans="1:12" x14ac:dyDescent="0.2">
      <c r="A30" t="s">
        <v>17</v>
      </c>
      <c r="H30" t="s">
        <v>22</v>
      </c>
      <c r="L3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AD60-9ECF-B34B-8B21-2249B261DB91}">
  <dimension ref="A5:Q40"/>
  <sheetViews>
    <sheetView workbookViewId="0">
      <selection activeCell="O26" sqref="O26"/>
    </sheetView>
  </sheetViews>
  <sheetFormatPr baseColWidth="10" defaultRowHeight="16" x14ac:dyDescent="0.2"/>
  <sheetData>
    <row r="5" spans="1:17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</row>
    <row r="6" spans="1:17" x14ac:dyDescent="0.2">
      <c r="A6" t="s">
        <v>17</v>
      </c>
      <c r="B6">
        <v>20601106</v>
      </c>
      <c r="C6" t="s">
        <v>311</v>
      </c>
      <c r="D6">
        <v>1</v>
      </c>
      <c r="E6" t="s">
        <v>19</v>
      </c>
      <c r="G6" t="s">
        <v>185</v>
      </c>
      <c r="H6" t="s">
        <v>22</v>
      </c>
      <c r="I6" t="s">
        <v>312</v>
      </c>
      <c r="J6" t="s">
        <v>312</v>
      </c>
      <c r="L6">
        <v>0</v>
      </c>
    </row>
    <row r="7" spans="1:17" x14ac:dyDescent="0.2">
      <c r="A7" t="s">
        <v>17</v>
      </c>
      <c r="B7">
        <v>20503169</v>
      </c>
      <c r="C7" t="s">
        <v>313</v>
      </c>
      <c r="D7">
        <v>1</v>
      </c>
      <c r="E7" t="s">
        <v>19</v>
      </c>
      <c r="G7" t="s">
        <v>185</v>
      </c>
      <c r="H7" t="s">
        <v>22</v>
      </c>
      <c r="I7" t="s">
        <v>314</v>
      </c>
      <c r="J7" t="s">
        <v>314</v>
      </c>
      <c r="L7">
        <v>0</v>
      </c>
    </row>
    <row r="8" spans="1:17" x14ac:dyDescent="0.2">
      <c r="A8" t="s">
        <v>17</v>
      </c>
      <c r="B8">
        <v>10403275</v>
      </c>
      <c r="C8" t="s">
        <v>307</v>
      </c>
      <c r="D8">
        <v>1.5E-3</v>
      </c>
      <c r="E8" t="s">
        <v>246</v>
      </c>
      <c r="G8" t="s">
        <v>185</v>
      </c>
      <c r="H8" t="s">
        <v>22</v>
      </c>
      <c r="I8" t="s">
        <v>315</v>
      </c>
      <c r="J8" t="s">
        <v>316</v>
      </c>
      <c r="L8">
        <v>0</v>
      </c>
    </row>
    <row r="9" spans="1:17" x14ac:dyDescent="0.2">
      <c r="A9" t="s">
        <v>17</v>
      </c>
      <c r="B9">
        <v>10403231</v>
      </c>
      <c r="C9" t="s">
        <v>240</v>
      </c>
      <c r="D9">
        <v>0.106</v>
      </c>
      <c r="E9" t="s">
        <v>30</v>
      </c>
      <c r="G9" t="s">
        <v>185</v>
      </c>
      <c r="H9" t="s">
        <v>22</v>
      </c>
      <c r="I9" t="s">
        <v>317</v>
      </c>
      <c r="J9" t="s">
        <v>318</v>
      </c>
      <c r="L9">
        <v>0</v>
      </c>
      <c r="Q9" t="s">
        <v>319</v>
      </c>
    </row>
    <row r="10" spans="1:17" x14ac:dyDescent="0.2">
      <c r="A10" t="s">
        <v>17</v>
      </c>
      <c r="B10">
        <v>10403230</v>
      </c>
      <c r="C10" t="s">
        <v>237</v>
      </c>
      <c r="D10">
        <v>0.106</v>
      </c>
      <c r="E10" t="s">
        <v>30</v>
      </c>
      <c r="G10" t="s">
        <v>185</v>
      </c>
      <c r="H10" t="s">
        <v>22</v>
      </c>
      <c r="I10" t="s">
        <v>317</v>
      </c>
      <c r="J10" t="s">
        <v>318</v>
      </c>
      <c r="L10">
        <v>0</v>
      </c>
      <c r="Q10" t="s">
        <v>319</v>
      </c>
    </row>
    <row r="11" spans="1:17" x14ac:dyDescent="0.2">
      <c r="A11" t="s">
        <v>17</v>
      </c>
      <c r="B11">
        <v>10403049</v>
      </c>
      <c r="C11" t="s">
        <v>241</v>
      </c>
      <c r="D11">
        <v>1.07E-3</v>
      </c>
      <c r="E11" t="s">
        <v>30</v>
      </c>
      <c r="G11" t="s">
        <v>185</v>
      </c>
      <c r="H11" t="s">
        <v>183</v>
      </c>
      <c r="L11">
        <v>0</v>
      </c>
    </row>
    <row r="12" spans="1:17" x14ac:dyDescent="0.2">
      <c r="A12" t="s">
        <v>17</v>
      </c>
      <c r="B12">
        <v>10403032</v>
      </c>
      <c r="C12" t="s">
        <v>255</v>
      </c>
      <c r="D12">
        <v>0.01</v>
      </c>
      <c r="E12" t="s">
        <v>30</v>
      </c>
      <c r="G12" t="s">
        <v>185</v>
      </c>
      <c r="H12" t="s">
        <v>22</v>
      </c>
      <c r="I12" t="s">
        <v>256</v>
      </c>
      <c r="J12" t="s">
        <v>320</v>
      </c>
      <c r="L12">
        <v>0</v>
      </c>
    </row>
    <row r="13" spans="1:17" x14ac:dyDescent="0.2">
      <c r="A13" t="s">
        <v>17</v>
      </c>
      <c r="B13">
        <v>10403030</v>
      </c>
      <c r="C13" t="s">
        <v>249</v>
      </c>
      <c r="D13">
        <v>1E-3</v>
      </c>
      <c r="E13" t="s">
        <v>246</v>
      </c>
      <c r="G13" t="s">
        <v>185</v>
      </c>
      <c r="H13" t="s">
        <v>22</v>
      </c>
      <c r="I13" t="s">
        <v>250</v>
      </c>
      <c r="J13" t="s">
        <v>251</v>
      </c>
      <c r="L13">
        <v>0</v>
      </c>
      <c r="Q13" t="s">
        <v>321</v>
      </c>
    </row>
    <row r="14" spans="1:17" x14ac:dyDescent="0.2">
      <c r="A14" t="s">
        <v>17</v>
      </c>
      <c r="B14">
        <v>10403012</v>
      </c>
      <c r="C14" t="s">
        <v>245</v>
      </c>
      <c r="D14">
        <v>1E-3</v>
      </c>
      <c r="E14" t="s">
        <v>246</v>
      </c>
      <c r="G14" t="s">
        <v>185</v>
      </c>
      <c r="H14" t="s">
        <v>22</v>
      </c>
      <c r="I14" t="s">
        <v>247</v>
      </c>
      <c r="J14" t="s">
        <v>248</v>
      </c>
      <c r="L14">
        <v>0</v>
      </c>
      <c r="Q14" t="s">
        <v>301</v>
      </c>
    </row>
    <row r="15" spans="1:17" x14ac:dyDescent="0.2">
      <c r="A15" t="s">
        <v>17</v>
      </c>
      <c r="B15">
        <v>10403009</v>
      </c>
      <c r="C15" t="s">
        <v>47</v>
      </c>
      <c r="D15">
        <v>1.5E-3</v>
      </c>
      <c r="E15" t="s">
        <v>30</v>
      </c>
      <c r="G15" t="s">
        <v>185</v>
      </c>
      <c r="H15" t="s">
        <v>22</v>
      </c>
      <c r="I15" t="s">
        <v>322</v>
      </c>
      <c r="J15" t="s">
        <v>323</v>
      </c>
      <c r="L15">
        <v>0</v>
      </c>
      <c r="Q15" t="s">
        <v>301</v>
      </c>
    </row>
    <row r="16" spans="1:17" x14ac:dyDescent="0.2">
      <c r="A16" t="s">
        <v>17</v>
      </c>
      <c r="B16">
        <v>10310039</v>
      </c>
      <c r="C16" t="s">
        <v>51</v>
      </c>
      <c r="D16">
        <v>1</v>
      </c>
      <c r="E16" t="s">
        <v>19</v>
      </c>
      <c r="F16" t="s">
        <v>324</v>
      </c>
      <c r="G16" t="s">
        <v>185</v>
      </c>
      <c r="H16" t="s">
        <v>22</v>
      </c>
      <c r="I16" t="s">
        <v>53</v>
      </c>
      <c r="J16" t="s">
        <v>53</v>
      </c>
      <c r="L16">
        <v>0</v>
      </c>
    </row>
    <row r="17" spans="1:17" x14ac:dyDescent="0.2">
      <c r="A17" t="s">
        <v>17</v>
      </c>
      <c r="B17">
        <v>10307241</v>
      </c>
      <c r="C17" t="s">
        <v>252</v>
      </c>
      <c r="D17">
        <v>1</v>
      </c>
      <c r="E17" t="s">
        <v>19</v>
      </c>
      <c r="F17" t="s">
        <v>220</v>
      </c>
      <c r="G17" t="s">
        <v>185</v>
      </c>
      <c r="H17" t="s">
        <v>22</v>
      </c>
      <c r="I17" t="s">
        <v>212</v>
      </c>
      <c r="J17" t="s">
        <v>212</v>
      </c>
      <c r="L17">
        <v>0</v>
      </c>
    </row>
    <row r="18" spans="1:17" x14ac:dyDescent="0.2">
      <c r="A18" t="s">
        <v>17</v>
      </c>
      <c r="B18">
        <v>10306419</v>
      </c>
      <c r="C18" t="s">
        <v>78</v>
      </c>
      <c r="D18">
        <v>1</v>
      </c>
      <c r="E18" t="s">
        <v>19</v>
      </c>
      <c r="G18" t="s">
        <v>185</v>
      </c>
      <c r="H18" t="s">
        <v>22</v>
      </c>
      <c r="I18" t="s">
        <v>77</v>
      </c>
      <c r="J18" t="s">
        <v>77</v>
      </c>
      <c r="L18">
        <v>0</v>
      </c>
    </row>
    <row r="19" spans="1:17" x14ac:dyDescent="0.2">
      <c r="A19" t="s">
        <v>17</v>
      </c>
      <c r="B19">
        <v>10303995</v>
      </c>
      <c r="C19" t="s">
        <v>235</v>
      </c>
      <c r="D19">
        <v>1</v>
      </c>
      <c r="E19" t="s">
        <v>19</v>
      </c>
      <c r="G19" t="s">
        <v>185</v>
      </c>
      <c r="H19" t="s">
        <v>22</v>
      </c>
      <c r="I19" t="s">
        <v>325</v>
      </c>
      <c r="J19" t="s">
        <v>325</v>
      </c>
      <c r="L19">
        <v>0</v>
      </c>
    </row>
    <row r="20" spans="1:17" x14ac:dyDescent="0.2">
      <c r="A20" t="s">
        <v>17</v>
      </c>
      <c r="B20">
        <v>10302145</v>
      </c>
      <c r="C20" t="s">
        <v>253</v>
      </c>
      <c r="D20">
        <v>1</v>
      </c>
      <c r="E20" t="s">
        <v>19</v>
      </c>
      <c r="G20" t="s">
        <v>185</v>
      </c>
      <c r="H20" t="s">
        <v>22</v>
      </c>
      <c r="I20" t="s">
        <v>254</v>
      </c>
      <c r="J20" t="s">
        <v>254</v>
      </c>
      <c r="L20">
        <v>0</v>
      </c>
    </row>
    <row r="21" spans="1:17" x14ac:dyDescent="0.2">
      <c r="A21" t="s">
        <v>17</v>
      </c>
      <c r="B21">
        <v>10301623</v>
      </c>
      <c r="C21" t="s">
        <v>326</v>
      </c>
      <c r="D21">
        <v>0.1</v>
      </c>
      <c r="E21" t="s">
        <v>72</v>
      </c>
      <c r="G21" t="s">
        <v>185</v>
      </c>
      <c r="H21" t="s">
        <v>22</v>
      </c>
      <c r="I21" t="s">
        <v>327</v>
      </c>
      <c r="J21" t="s">
        <v>328</v>
      </c>
      <c r="L21">
        <v>0</v>
      </c>
    </row>
    <row r="22" spans="1:17" x14ac:dyDescent="0.2">
      <c r="A22" t="s">
        <v>17</v>
      </c>
      <c r="B22">
        <v>10301621</v>
      </c>
      <c r="C22" t="s">
        <v>329</v>
      </c>
      <c r="D22">
        <v>0.1</v>
      </c>
      <c r="E22" t="s">
        <v>72</v>
      </c>
      <c r="G22" t="s">
        <v>185</v>
      </c>
      <c r="H22" t="s">
        <v>22</v>
      </c>
      <c r="I22" t="s">
        <v>327</v>
      </c>
      <c r="J22" t="s">
        <v>328</v>
      </c>
      <c r="L22">
        <v>0</v>
      </c>
    </row>
    <row r="23" spans="1:17" x14ac:dyDescent="0.2">
      <c r="A23" t="s">
        <v>17</v>
      </c>
      <c r="B23">
        <v>10301455</v>
      </c>
      <c r="C23" t="s">
        <v>231</v>
      </c>
      <c r="D23">
        <v>0.2</v>
      </c>
      <c r="E23" t="s">
        <v>72</v>
      </c>
      <c r="F23" t="s">
        <v>232</v>
      </c>
      <c r="G23" t="s">
        <v>185</v>
      </c>
      <c r="H23" t="s">
        <v>22</v>
      </c>
      <c r="I23" t="s">
        <v>330</v>
      </c>
      <c r="J23" t="s">
        <v>331</v>
      </c>
      <c r="L23">
        <v>0</v>
      </c>
      <c r="Q23" t="s">
        <v>332</v>
      </c>
    </row>
    <row r="24" spans="1:17" x14ac:dyDescent="0.2">
      <c r="A24" t="s">
        <v>17</v>
      </c>
      <c r="B24">
        <v>10301273</v>
      </c>
      <c r="C24" t="s">
        <v>333</v>
      </c>
      <c r="D24">
        <v>0.1</v>
      </c>
      <c r="E24" t="s">
        <v>72</v>
      </c>
      <c r="G24" t="s">
        <v>185</v>
      </c>
      <c r="H24" t="s">
        <v>22</v>
      </c>
      <c r="I24" t="s">
        <v>327</v>
      </c>
      <c r="J24" t="s">
        <v>328</v>
      </c>
      <c r="L24">
        <v>0</v>
      </c>
    </row>
    <row r="25" spans="1:17" x14ac:dyDescent="0.2">
      <c r="A25" t="s">
        <v>17</v>
      </c>
      <c r="B25">
        <v>10301165</v>
      </c>
      <c r="C25" t="s">
        <v>258</v>
      </c>
      <c r="D25">
        <v>1</v>
      </c>
      <c r="E25" t="s">
        <v>19</v>
      </c>
      <c r="G25" t="s">
        <v>185</v>
      </c>
      <c r="H25" t="s">
        <v>22</v>
      </c>
      <c r="I25" t="s">
        <v>334</v>
      </c>
      <c r="J25" t="s">
        <v>334</v>
      </c>
      <c r="L25">
        <v>0</v>
      </c>
    </row>
    <row r="26" spans="1:17" x14ac:dyDescent="0.2">
      <c r="A26" t="s">
        <v>17</v>
      </c>
      <c r="B26">
        <v>10207108</v>
      </c>
      <c r="C26" t="s">
        <v>225</v>
      </c>
      <c r="D26">
        <v>1</v>
      </c>
      <c r="E26" t="s">
        <v>19</v>
      </c>
      <c r="F26" t="s">
        <v>226</v>
      </c>
      <c r="G26" t="s">
        <v>185</v>
      </c>
      <c r="H26" t="s">
        <v>22</v>
      </c>
      <c r="I26" t="s">
        <v>227</v>
      </c>
      <c r="J26" t="s">
        <v>227</v>
      </c>
      <c r="L26">
        <v>0</v>
      </c>
      <c r="Q26" t="s">
        <v>335</v>
      </c>
    </row>
    <row r="27" spans="1:17" x14ac:dyDescent="0.2">
      <c r="A27" t="s">
        <v>17</v>
      </c>
      <c r="B27">
        <v>10207058</v>
      </c>
      <c r="C27" t="s">
        <v>222</v>
      </c>
      <c r="D27">
        <v>1</v>
      </c>
      <c r="E27" t="s">
        <v>19</v>
      </c>
      <c r="F27" t="s">
        <v>223</v>
      </c>
      <c r="G27" t="s">
        <v>185</v>
      </c>
      <c r="H27" t="s">
        <v>22</v>
      </c>
      <c r="I27" t="s">
        <v>336</v>
      </c>
      <c r="J27" t="s">
        <v>336</v>
      </c>
      <c r="L27">
        <v>0</v>
      </c>
      <c r="Q27" t="s">
        <v>337</v>
      </c>
    </row>
    <row r="28" spans="1:17" x14ac:dyDescent="0.2">
      <c r="A28" t="s">
        <v>17</v>
      </c>
      <c r="B28">
        <v>10206018</v>
      </c>
      <c r="C28" t="s">
        <v>213</v>
      </c>
      <c r="D28">
        <v>1</v>
      </c>
      <c r="E28" t="s">
        <v>19</v>
      </c>
      <c r="F28" t="s">
        <v>214</v>
      </c>
      <c r="G28" t="s">
        <v>185</v>
      </c>
      <c r="H28" t="s">
        <v>22</v>
      </c>
      <c r="I28" t="s">
        <v>93</v>
      </c>
      <c r="J28" t="s">
        <v>93</v>
      </c>
      <c r="L28">
        <v>0</v>
      </c>
      <c r="Q28" t="s">
        <v>338</v>
      </c>
    </row>
    <row r="29" spans="1:17" x14ac:dyDescent="0.2">
      <c r="A29" t="s">
        <v>17</v>
      </c>
      <c r="B29">
        <v>10206016</v>
      </c>
      <c r="C29" t="s">
        <v>210</v>
      </c>
      <c r="D29">
        <v>1</v>
      </c>
      <c r="E29" t="s">
        <v>19</v>
      </c>
      <c r="F29" t="s">
        <v>211</v>
      </c>
      <c r="G29" t="s">
        <v>185</v>
      </c>
      <c r="H29" t="s">
        <v>22</v>
      </c>
      <c r="I29" t="s">
        <v>339</v>
      </c>
      <c r="J29" t="s">
        <v>339</v>
      </c>
      <c r="L29">
        <v>0</v>
      </c>
      <c r="Q29" t="s">
        <v>338</v>
      </c>
    </row>
    <row r="30" spans="1:17" x14ac:dyDescent="0.2">
      <c r="A30" t="s">
        <v>17</v>
      </c>
      <c r="B30">
        <v>10206002</v>
      </c>
      <c r="C30" t="s">
        <v>215</v>
      </c>
      <c r="D30">
        <v>2</v>
      </c>
      <c r="E30" t="s">
        <v>19</v>
      </c>
      <c r="F30" t="s">
        <v>340</v>
      </c>
      <c r="G30" t="s">
        <v>185</v>
      </c>
      <c r="H30" t="s">
        <v>22</v>
      </c>
      <c r="I30" t="s">
        <v>217</v>
      </c>
      <c r="J30" t="s">
        <v>218</v>
      </c>
      <c r="L30">
        <v>0</v>
      </c>
    </row>
    <row r="31" spans="1:17" x14ac:dyDescent="0.2">
      <c r="A31" t="s">
        <v>17</v>
      </c>
      <c r="B31">
        <v>10204057</v>
      </c>
      <c r="C31" t="s">
        <v>219</v>
      </c>
      <c r="D31">
        <v>1</v>
      </c>
      <c r="E31" t="s">
        <v>19</v>
      </c>
      <c r="F31" t="s">
        <v>220</v>
      </c>
      <c r="G31" t="s">
        <v>185</v>
      </c>
      <c r="H31" t="s">
        <v>22</v>
      </c>
      <c r="I31" t="s">
        <v>341</v>
      </c>
      <c r="J31" t="s">
        <v>341</v>
      </c>
      <c r="L31">
        <v>0</v>
      </c>
      <c r="Q31" t="s">
        <v>342</v>
      </c>
    </row>
    <row r="32" spans="1:17" x14ac:dyDescent="0.2">
      <c r="A32" t="s">
        <v>17</v>
      </c>
      <c r="B32">
        <v>10203128</v>
      </c>
      <c r="C32" t="s">
        <v>204</v>
      </c>
      <c r="D32">
        <v>1</v>
      </c>
      <c r="E32" t="s">
        <v>19</v>
      </c>
      <c r="F32" t="s">
        <v>205</v>
      </c>
      <c r="G32" t="s">
        <v>185</v>
      </c>
      <c r="H32" t="s">
        <v>22</v>
      </c>
      <c r="I32" t="s">
        <v>90</v>
      </c>
      <c r="J32" t="s">
        <v>90</v>
      </c>
      <c r="L32">
        <v>0</v>
      </c>
      <c r="Q32" t="s">
        <v>343</v>
      </c>
    </row>
    <row r="33" spans="1:17" x14ac:dyDescent="0.2">
      <c r="A33" t="s">
        <v>17</v>
      </c>
      <c r="B33">
        <v>10203039</v>
      </c>
      <c r="C33" t="s">
        <v>207</v>
      </c>
      <c r="D33">
        <v>1</v>
      </c>
      <c r="E33" t="s">
        <v>19</v>
      </c>
      <c r="F33" t="s">
        <v>208</v>
      </c>
      <c r="G33" t="s">
        <v>185</v>
      </c>
      <c r="H33" t="s">
        <v>22</v>
      </c>
      <c r="I33" t="s">
        <v>93</v>
      </c>
      <c r="J33" t="s">
        <v>93</v>
      </c>
      <c r="L33">
        <v>0</v>
      </c>
      <c r="Q33" t="s">
        <v>343</v>
      </c>
    </row>
    <row r="34" spans="1:17" x14ac:dyDescent="0.2">
      <c r="A34" t="s">
        <v>17</v>
      </c>
      <c r="B34">
        <v>10203016</v>
      </c>
      <c r="C34" t="s">
        <v>199</v>
      </c>
      <c r="D34">
        <v>1</v>
      </c>
      <c r="E34" t="s">
        <v>19</v>
      </c>
      <c r="F34" t="s">
        <v>200</v>
      </c>
      <c r="G34" t="s">
        <v>185</v>
      </c>
      <c r="H34" t="s">
        <v>22</v>
      </c>
      <c r="I34" t="s">
        <v>344</v>
      </c>
      <c r="J34" t="s">
        <v>344</v>
      </c>
      <c r="L34">
        <v>0</v>
      </c>
      <c r="Q34" t="s">
        <v>345</v>
      </c>
    </row>
    <row r="35" spans="1:17" x14ac:dyDescent="0.2">
      <c r="A35" t="s">
        <v>17</v>
      </c>
      <c r="B35">
        <v>10203014</v>
      </c>
      <c r="C35" t="s">
        <v>194</v>
      </c>
      <c r="D35">
        <v>1</v>
      </c>
      <c r="E35" t="s">
        <v>19</v>
      </c>
      <c r="F35" t="s">
        <v>195</v>
      </c>
      <c r="G35" t="s">
        <v>185</v>
      </c>
      <c r="H35" t="s">
        <v>22</v>
      </c>
      <c r="I35" t="s">
        <v>189</v>
      </c>
      <c r="J35" t="s">
        <v>189</v>
      </c>
      <c r="L35">
        <v>0</v>
      </c>
      <c r="Q35" t="s">
        <v>346</v>
      </c>
    </row>
    <row r="36" spans="1:17" x14ac:dyDescent="0.2">
      <c r="A36" t="s">
        <v>17</v>
      </c>
      <c r="B36">
        <v>10203013</v>
      </c>
      <c r="C36" t="s">
        <v>191</v>
      </c>
      <c r="D36">
        <v>1</v>
      </c>
      <c r="E36" t="s">
        <v>19</v>
      </c>
      <c r="F36" t="s">
        <v>192</v>
      </c>
      <c r="G36" t="s">
        <v>185</v>
      </c>
      <c r="H36" t="s">
        <v>22</v>
      </c>
      <c r="I36" t="s">
        <v>347</v>
      </c>
      <c r="J36" t="s">
        <v>347</v>
      </c>
      <c r="L36">
        <v>0</v>
      </c>
      <c r="Q36" t="s">
        <v>348</v>
      </c>
    </row>
    <row r="37" spans="1:17" x14ac:dyDescent="0.2">
      <c r="A37" t="s">
        <v>17</v>
      </c>
      <c r="B37">
        <v>10203012</v>
      </c>
      <c r="C37" t="s">
        <v>197</v>
      </c>
      <c r="D37">
        <v>1</v>
      </c>
      <c r="E37" t="s">
        <v>19</v>
      </c>
      <c r="F37" t="s">
        <v>198</v>
      </c>
      <c r="G37" t="s">
        <v>185</v>
      </c>
      <c r="H37" t="s">
        <v>22</v>
      </c>
      <c r="I37" t="s">
        <v>349</v>
      </c>
      <c r="J37" t="s">
        <v>349</v>
      </c>
      <c r="L37">
        <v>0</v>
      </c>
      <c r="Q37" t="s">
        <v>345</v>
      </c>
    </row>
    <row r="38" spans="1:17" x14ac:dyDescent="0.2">
      <c r="A38" t="s">
        <v>17</v>
      </c>
      <c r="B38">
        <v>10203005</v>
      </c>
      <c r="C38" t="s">
        <v>202</v>
      </c>
      <c r="D38">
        <v>1</v>
      </c>
      <c r="E38" t="s">
        <v>19</v>
      </c>
      <c r="F38" t="s">
        <v>203</v>
      </c>
      <c r="G38" t="s">
        <v>185</v>
      </c>
      <c r="H38" t="s">
        <v>22</v>
      </c>
      <c r="I38" t="s">
        <v>350</v>
      </c>
      <c r="J38" t="s">
        <v>350</v>
      </c>
      <c r="L38">
        <v>0</v>
      </c>
      <c r="Q38" t="s">
        <v>343</v>
      </c>
    </row>
    <row r="39" spans="1:17" x14ac:dyDescent="0.2">
      <c r="A39" t="s">
        <v>17</v>
      </c>
      <c r="B39">
        <v>10202057</v>
      </c>
      <c r="C39" t="s">
        <v>187</v>
      </c>
      <c r="D39">
        <v>2</v>
      </c>
      <c r="E39" t="s">
        <v>19</v>
      </c>
      <c r="F39" t="s">
        <v>351</v>
      </c>
      <c r="G39" t="s">
        <v>185</v>
      </c>
      <c r="H39" t="s">
        <v>22</v>
      </c>
      <c r="I39" t="s">
        <v>352</v>
      </c>
      <c r="J39" t="s">
        <v>353</v>
      </c>
      <c r="L39">
        <v>0</v>
      </c>
    </row>
    <row r="40" spans="1:17" x14ac:dyDescent="0.2">
      <c r="A40" t="s">
        <v>17</v>
      </c>
      <c r="H40" t="s">
        <v>22</v>
      </c>
      <c r="L4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BAE7-08AA-DA4F-B273-D7BE6E05146D}">
  <dimension ref="A1:Q13"/>
  <sheetViews>
    <sheetView workbookViewId="0">
      <selection sqref="A1:Q13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10201205</v>
      </c>
      <c r="C2" t="s">
        <v>285</v>
      </c>
      <c r="D2">
        <v>1</v>
      </c>
      <c r="E2" t="s">
        <v>19</v>
      </c>
      <c r="G2" t="s">
        <v>185</v>
      </c>
      <c r="H2" t="s">
        <v>22</v>
      </c>
      <c r="I2" t="s">
        <v>46</v>
      </c>
      <c r="J2" t="s">
        <v>46</v>
      </c>
      <c r="L2">
        <v>0</v>
      </c>
      <c r="Q2" t="s">
        <v>286</v>
      </c>
    </row>
    <row r="3" spans="1:17" x14ac:dyDescent="0.2">
      <c r="A3" t="s">
        <v>17</v>
      </c>
      <c r="B3">
        <v>10206076</v>
      </c>
      <c r="C3" t="s">
        <v>287</v>
      </c>
      <c r="D3">
        <v>1</v>
      </c>
      <c r="E3" t="s">
        <v>19</v>
      </c>
      <c r="F3" t="s">
        <v>211</v>
      </c>
      <c r="G3" t="s">
        <v>185</v>
      </c>
      <c r="H3" t="s">
        <v>22</v>
      </c>
      <c r="I3" t="s">
        <v>288</v>
      </c>
      <c r="J3" t="s">
        <v>288</v>
      </c>
      <c r="L3">
        <v>0</v>
      </c>
      <c r="Q3" t="s">
        <v>289</v>
      </c>
    </row>
    <row r="4" spans="1:17" x14ac:dyDescent="0.2">
      <c r="A4" t="s">
        <v>17</v>
      </c>
      <c r="B4">
        <v>10206028</v>
      </c>
      <c r="C4" t="s">
        <v>290</v>
      </c>
      <c r="D4">
        <v>1</v>
      </c>
      <c r="E4" t="s">
        <v>19</v>
      </c>
      <c r="F4" t="s">
        <v>291</v>
      </c>
      <c r="G4" t="s">
        <v>185</v>
      </c>
      <c r="H4" t="s">
        <v>22</v>
      </c>
      <c r="I4" t="s">
        <v>292</v>
      </c>
      <c r="J4" t="s">
        <v>292</v>
      </c>
      <c r="L4">
        <v>0</v>
      </c>
      <c r="Q4" t="s">
        <v>289</v>
      </c>
    </row>
    <row r="5" spans="1:17" x14ac:dyDescent="0.2">
      <c r="A5" t="s">
        <v>17</v>
      </c>
      <c r="B5">
        <v>10206070</v>
      </c>
      <c r="C5" t="s">
        <v>293</v>
      </c>
      <c r="D5">
        <v>1</v>
      </c>
      <c r="E5" t="s">
        <v>19</v>
      </c>
      <c r="F5" t="s">
        <v>294</v>
      </c>
      <c r="G5" t="s">
        <v>185</v>
      </c>
      <c r="H5" t="s">
        <v>22</v>
      </c>
      <c r="I5" t="s">
        <v>164</v>
      </c>
      <c r="J5" t="s">
        <v>164</v>
      </c>
      <c r="L5">
        <v>0</v>
      </c>
      <c r="Q5" t="s">
        <v>289</v>
      </c>
    </row>
    <row r="6" spans="1:17" x14ac:dyDescent="0.2">
      <c r="A6" t="s">
        <v>17</v>
      </c>
      <c r="B6">
        <v>10206077</v>
      </c>
      <c r="C6" t="s">
        <v>295</v>
      </c>
      <c r="D6">
        <v>1</v>
      </c>
      <c r="E6" t="s">
        <v>19</v>
      </c>
      <c r="F6" t="s">
        <v>296</v>
      </c>
      <c r="G6" t="s">
        <v>185</v>
      </c>
      <c r="H6" t="s">
        <v>22</v>
      </c>
      <c r="I6" t="s">
        <v>297</v>
      </c>
      <c r="J6" t="s">
        <v>297</v>
      </c>
      <c r="L6">
        <v>0</v>
      </c>
      <c r="Q6" t="s">
        <v>298</v>
      </c>
    </row>
    <row r="7" spans="1:17" x14ac:dyDescent="0.2">
      <c r="A7" t="s">
        <v>17</v>
      </c>
      <c r="B7">
        <v>10403009</v>
      </c>
      <c r="C7" t="s">
        <v>47</v>
      </c>
      <c r="D7">
        <v>1.5E-3</v>
      </c>
      <c r="E7" t="s">
        <v>30</v>
      </c>
      <c r="G7" t="s">
        <v>185</v>
      </c>
      <c r="H7" t="s">
        <v>22</v>
      </c>
      <c r="I7" t="s">
        <v>299</v>
      </c>
      <c r="J7" t="s">
        <v>300</v>
      </c>
      <c r="L7">
        <v>0</v>
      </c>
      <c r="Q7" t="s">
        <v>301</v>
      </c>
    </row>
    <row r="8" spans="1:17" x14ac:dyDescent="0.2">
      <c r="A8" t="s">
        <v>17</v>
      </c>
      <c r="B8">
        <v>10403012</v>
      </c>
      <c r="C8" t="s">
        <v>245</v>
      </c>
      <c r="D8">
        <v>1E-3</v>
      </c>
      <c r="E8" t="s">
        <v>246</v>
      </c>
      <c r="G8" t="s">
        <v>185</v>
      </c>
      <c r="H8" t="s">
        <v>22</v>
      </c>
      <c r="I8" t="s">
        <v>247</v>
      </c>
      <c r="J8" t="s">
        <v>248</v>
      </c>
      <c r="L8">
        <v>0</v>
      </c>
      <c r="Q8" t="s">
        <v>301</v>
      </c>
    </row>
    <row r="9" spans="1:17" x14ac:dyDescent="0.2">
      <c r="A9" t="s">
        <v>17</v>
      </c>
      <c r="B9">
        <v>10403153</v>
      </c>
      <c r="C9" t="s">
        <v>302</v>
      </c>
      <c r="D9">
        <v>1E-3</v>
      </c>
      <c r="E9" t="s">
        <v>303</v>
      </c>
      <c r="G9" t="s">
        <v>185</v>
      </c>
      <c r="H9" t="s">
        <v>22</v>
      </c>
      <c r="I9" t="s">
        <v>304</v>
      </c>
      <c r="J9" t="s">
        <v>305</v>
      </c>
      <c r="L9">
        <v>0</v>
      </c>
      <c r="Q9" t="s">
        <v>306</v>
      </c>
    </row>
    <row r="10" spans="1:17" x14ac:dyDescent="0.2">
      <c r="A10" t="s">
        <v>17</v>
      </c>
      <c r="B10">
        <v>10403275</v>
      </c>
      <c r="C10" t="s">
        <v>307</v>
      </c>
      <c r="D10">
        <v>1.5E-3</v>
      </c>
      <c r="E10" t="s">
        <v>246</v>
      </c>
      <c r="G10" t="s">
        <v>185</v>
      </c>
      <c r="H10" t="s">
        <v>22</v>
      </c>
      <c r="I10" t="s">
        <v>308</v>
      </c>
      <c r="J10" t="s">
        <v>171</v>
      </c>
      <c r="L10">
        <v>0</v>
      </c>
    </row>
    <row r="11" spans="1:17" x14ac:dyDescent="0.2">
      <c r="A11" t="s">
        <v>17</v>
      </c>
      <c r="B11">
        <v>10301566</v>
      </c>
      <c r="C11" t="s">
        <v>228</v>
      </c>
      <c r="D11">
        <v>0.35</v>
      </c>
      <c r="E11" t="s">
        <v>72</v>
      </c>
      <c r="G11" t="s">
        <v>185</v>
      </c>
      <c r="H11" t="s">
        <v>22</v>
      </c>
      <c r="I11" t="s">
        <v>309</v>
      </c>
      <c r="J11" t="s">
        <v>310</v>
      </c>
      <c r="L11">
        <v>0</v>
      </c>
    </row>
    <row r="12" spans="1:17" x14ac:dyDescent="0.2">
      <c r="A12" t="s">
        <v>17</v>
      </c>
      <c r="B12">
        <v>10403049</v>
      </c>
      <c r="C12" t="s">
        <v>241</v>
      </c>
      <c r="D12">
        <v>2.9999999999999997E-4</v>
      </c>
      <c r="E12" t="s">
        <v>30</v>
      </c>
      <c r="G12" t="s">
        <v>185</v>
      </c>
      <c r="H12" t="s">
        <v>183</v>
      </c>
      <c r="L12">
        <v>0</v>
      </c>
    </row>
    <row r="13" spans="1:17" x14ac:dyDescent="0.2">
      <c r="A13" t="s">
        <v>17</v>
      </c>
      <c r="H13" t="s">
        <v>22</v>
      </c>
      <c r="L1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2E0A-47CC-FB45-B2BA-B66B4BC0AE25}">
  <dimension ref="A1:Q29"/>
  <sheetViews>
    <sheetView workbookViewId="0">
      <selection sqref="A1:Q29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10102023</v>
      </c>
      <c r="C2" t="s">
        <v>105</v>
      </c>
      <c r="D2">
        <v>2</v>
      </c>
      <c r="E2" t="s">
        <v>19</v>
      </c>
      <c r="F2" t="s">
        <v>106</v>
      </c>
      <c r="G2" t="s">
        <v>107</v>
      </c>
      <c r="H2" t="s">
        <v>22</v>
      </c>
      <c r="I2" t="s">
        <v>108</v>
      </c>
      <c r="J2" t="s">
        <v>77</v>
      </c>
      <c r="L2">
        <v>0</v>
      </c>
      <c r="Q2" t="s">
        <v>109</v>
      </c>
    </row>
    <row r="3" spans="1:17" x14ac:dyDescent="0.2">
      <c r="A3" t="s">
        <v>17</v>
      </c>
      <c r="B3">
        <v>10102051</v>
      </c>
      <c r="C3" t="s">
        <v>110</v>
      </c>
      <c r="D3">
        <v>1</v>
      </c>
      <c r="E3" t="s">
        <v>19</v>
      </c>
      <c r="F3" t="s">
        <v>111</v>
      </c>
      <c r="G3" t="s">
        <v>107</v>
      </c>
      <c r="H3" t="s">
        <v>22</v>
      </c>
      <c r="I3" t="s">
        <v>108</v>
      </c>
      <c r="J3" t="s">
        <v>108</v>
      </c>
      <c r="L3">
        <v>0</v>
      </c>
      <c r="Q3" t="s">
        <v>109</v>
      </c>
    </row>
    <row r="4" spans="1:17" x14ac:dyDescent="0.2">
      <c r="A4" t="s">
        <v>17</v>
      </c>
      <c r="B4">
        <v>10102060</v>
      </c>
      <c r="C4" t="s">
        <v>112</v>
      </c>
      <c r="D4">
        <v>1</v>
      </c>
      <c r="E4" t="s">
        <v>19</v>
      </c>
      <c r="F4" t="s">
        <v>113</v>
      </c>
      <c r="G4" t="s">
        <v>107</v>
      </c>
      <c r="H4" t="s">
        <v>22</v>
      </c>
      <c r="I4" t="s">
        <v>108</v>
      </c>
      <c r="J4" t="s">
        <v>108</v>
      </c>
      <c r="L4">
        <v>0</v>
      </c>
      <c r="Q4" t="s">
        <v>109</v>
      </c>
    </row>
    <row r="5" spans="1:17" x14ac:dyDescent="0.2">
      <c r="A5" t="s">
        <v>17</v>
      </c>
      <c r="B5">
        <v>10102095</v>
      </c>
      <c r="C5" t="s">
        <v>114</v>
      </c>
      <c r="D5">
        <v>1</v>
      </c>
      <c r="E5" t="s">
        <v>19</v>
      </c>
      <c r="F5" t="s">
        <v>115</v>
      </c>
      <c r="G5" t="s">
        <v>107</v>
      </c>
      <c r="H5" t="s">
        <v>22</v>
      </c>
      <c r="I5" t="s">
        <v>108</v>
      </c>
      <c r="J5" t="s">
        <v>108</v>
      </c>
      <c r="L5">
        <v>0</v>
      </c>
      <c r="Q5" t="s">
        <v>109</v>
      </c>
    </row>
    <row r="6" spans="1:17" x14ac:dyDescent="0.2">
      <c r="A6" t="s">
        <v>17</v>
      </c>
      <c r="B6">
        <v>10102041</v>
      </c>
      <c r="C6" t="s">
        <v>116</v>
      </c>
      <c r="D6">
        <v>4</v>
      </c>
      <c r="E6" t="s">
        <v>19</v>
      </c>
      <c r="F6" t="s">
        <v>117</v>
      </c>
      <c r="G6" t="s">
        <v>107</v>
      </c>
      <c r="H6" t="s">
        <v>22</v>
      </c>
      <c r="I6" t="s">
        <v>118</v>
      </c>
      <c r="J6" t="s">
        <v>119</v>
      </c>
      <c r="L6">
        <v>0</v>
      </c>
      <c r="Q6" t="s">
        <v>109</v>
      </c>
    </row>
    <row r="7" spans="1:17" x14ac:dyDescent="0.2">
      <c r="A7" t="s">
        <v>17</v>
      </c>
      <c r="B7">
        <v>10102093</v>
      </c>
      <c r="C7" t="s">
        <v>120</v>
      </c>
      <c r="D7">
        <v>1</v>
      </c>
      <c r="E7" t="s">
        <v>19</v>
      </c>
      <c r="F7" t="s">
        <v>121</v>
      </c>
      <c r="G7" t="s">
        <v>107</v>
      </c>
      <c r="H7" t="s">
        <v>22</v>
      </c>
      <c r="I7" t="s">
        <v>108</v>
      </c>
      <c r="J7" t="s">
        <v>108</v>
      </c>
      <c r="L7">
        <v>0</v>
      </c>
      <c r="Q7" t="s">
        <v>109</v>
      </c>
    </row>
    <row r="8" spans="1:17" x14ac:dyDescent="0.2">
      <c r="A8" t="s">
        <v>17</v>
      </c>
      <c r="B8">
        <v>10102038</v>
      </c>
      <c r="C8" t="s">
        <v>122</v>
      </c>
      <c r="D8">
        <v>2</v>
      </c>
      <c r="E8" t="s">
        <v>19</v>
      </c>
      <c r="F8" t="s">
        <v>283</v>
      </c>
      <c r="G8" t="s">
        <v>107</v>
      </c>
      <c r="H8" t="s">
        <v>22</v>
      </c>
      <c r="I8" t="s">
        <v>124</v>
      </c>
      <c r="J8" t="s">
        <v>125</v>
      </c>
      <c r="L8">
        <v>0</v>
      </c>
      <c r="Q8" t="s">
        <v>109</v>
      </c>
    </row>
    <row r="9" spans="1:17" x14ac:dyDescent="0.2">
      <c r="A9" t="s">
        <v>17</v>
      </c>
      <c r="B9">
        <v>10102042</v>
      </c>
      <c r="C9" t="s">
        <v>126</v>
      </c>
      <c r="D9">
        <v>2</v>
      </c>
      <c r="E9" t="s">
        <v>19</v>
      </c>
      <c r="F9" t="s">
        <v>127</v>
      </c>
      <c r="G9" t="s">
        <v>107</v>
      </c>
      <c r="H9" t="s">
        <v>22</v>
      </c>
      <c r="I9" t="s">
        <v>108</v>
      </c>
      <c r="J9" t="s">
        <v>77</v>
      </c>
      <c r="L9">
        <v>0</v>
      </c>
      <c r="Q9" t="s">
        <v>109</v>
      </c>
    </row>
    <row r="10" spans="1:17" x14ac:dyDescent="0.2">
      <c r="A10" t="s">
        <v>17</v>
      </c>
      <c r="B10">
        <v>10102024</v>
      </c>
      <c r="C10" t="s">
        <v>128</v>
      </c>
      <c r="D10">
        <v>1</v>
      </c>
      <c r="E10" t="s">
        <v>19</v>
      </c>
      <c r="F10" t="s">
        <v>129</v>
      </c>
      <c r="G10" t="s">
        <v>107</v>
      </c>
      <c r="H10" t="s">
        <v>22</v>
      </c>
      <c r="I10" t="s">
        <v>108</v>
      </c>
      <c r="J10" t="s">
        <v>108</v>
      </c>
      <c r="L10">
        <v>0</v>
      </c>
      <c r="Q10" t="s">
        <v>109</v>
      </c>
    </row>
    <row r="11" spans="1:17" x14ac:dyDescent="0.2">
      <c r="A11" t="s">
        <v>17</v>
      </c>
      <c r="B11">
        <v>10102092</v>
      </c>
      <c r="C11" t="s">
        <v>130</v>
      </c>
      <c r="D11">
        <v>3</v>
      </c>
      <c r="E11" t="s">
        <v>19</v>
      </c>
      <c r="F11" t="s">
        <v>131</v>
      </c>
      <c r="G11" t="s">
        <v>107</v>
      </c>
      <c r="H11" t="s">
        <v>22</v>
      </c>
      <c r="I11" t="s">
        <v>108</v>
      </c>
      <c r="J11" t="s">
        <v>132</v>
      </c>
      <c r="L11">
        <v>0</v>
      </c>
      <c r="Q11" t="s">
        <v>109</v>
      </c>
    </row>
    <row r="12" spans="1:17" x14ac:dyDescent="0.2">
      <c r="A12" t="s">
        <v>17</v>
      </c>
      <c r="B12">
        <v>10102157</v>
      </c>
      <c r="C12" t="s">
        <v>133</v>
      </c>
      <c r="D12">
        <v>1</v>
      </c>
      <c r="E12" t="s">
        <v>19</v>
      </c>
      <c r="F12" t="s">
        <v>134</v>
      </c>
      <c r="G12" t="s">
        <v>107</v>
      </c>
      <c r="H12" t="s">
        <v>22</v>
      </c>
      <c r="I12" t="s">
        <v>108</v>
      </c>
      <c r="J12" t="s">
        <v>108</v>
      </c>
      <c r="L12">
        <v>0</v>
      </c>
      <c r="Q12" t="s">
        <v>109</v>
      </c>
    </row>
    <row r="13" spans="1:17" x14ac:dyDescent="0.2">
      <c r="A13" t="s">
        <v>17</v>
      </c>
      <c r="B13">
        <v>10103002</v>
      </c>
      <c r="C13" t="s">
        <v>135</v>
      </c>
      <c r="D13">
        <v>1</v>
      </c>
      <c r="E13" t="s">
        <v>19</v>
      </c>
      <c r="F13" t="s">
        <v>136</v>
      </c>
      <c r="G13" t="s">
        <v>107</v>
      </c>
      <c r="H13" t="s">
        <v>22</v>
      </c>
      <c r="I13" t="s">
        <v>137</v>
      </c>
      <c r="J13" t="s">
        <v>137</v>
      </c>
      <c r="L13">
        <v>0</v>
      </c>
      <c r="Q13" t="s">
        <v>138</v>
      </c>
    </row>
    <row r="14" spans="1:17" x14ac:dyDescent="0.2">
      <c r="A14" t="s">
        <v>17</v>
      </c>
      <c r="B14">
        <v>10103005</v>
      </c>
      <c r="C14" t="s">
        <v>139</v>
      </c>
      <c r="D14">
        <v>1</v>
      </c>
      <c r="E14" t="s">
        <v>19</v>
      </c>
      <c r="F14" t="s">
        <v>140</v>
      </c>
      <c r="G14" t="s">
        <v>107</v>
      </c>
      <c r="H14" t="s">
        <v>22</v>
      </c>
      <c r="I14" t="s">
        <v>141</v>
      </c>
      <c r="J14" t="s">
        <v>141</v>
      </c>
      <c r="L14">
        <v>0</v>
      </c>
      <c r="Q14" t="s">
        <v>138</v>
      </c>
    </row>
    <row r="15" spans="1:17" x14ac:dyDescent="0.2">
      <c r="A15" t="s">
        <v>17</v>
      </c>
      <c r="B15">
        <v>10103001</v>
      </c>
      <c r="C15" t="s">
        <v>142</v>
      </c>
      <c r="D15">
        <v>1</v>
      </c>
      <c r="E15" t="s">
        <v>19</v>
      </c>
      <c r="F15" t="s">
        <v>143</v>
      </c>
      <c r="G15" t="s">
        <v>107</v>
      </c>
      <c r="H15" t="s">
        <v>22</v>
      </c>
      <c r="I15" t="s">
        <v>66</v>
      </c>
      <c r="J15" t="s">
        <v>66</v>
      </c>
      <c r="L15">
        <v>0</v>
      </c>
      <c r="Q15" t="s">
        <v>138</v>
      </c>
    </row>
    <row r="16" spans="1:17" x14ac:dyDescent="0.2">
      <c r="A16" t="s">
        <v>17</v>
      </c>
      <c r="B16">
        <v>10105024</v>
      </c>
      <c r="C16" t="s">
        <v>144</v>
      </c>
      <c r="D16">
        <v>1</v>
      </c>
      <c r="E16" t="s">
        <v>19</v>
      </c>
      <c r="F16" t="s">
        <v>145</v>
      </c>
      <c r="G16" t="s">
        <v>107</v>
      </c>
      <c r="H16" t="s">
        <v>22</v>
      </c>
      <c r="I16" t="s">
        <v>146</v>
      </c>
      <c r="J16" t="s">
        <v>146</v>
      </c>
      <c r="L16">
        <v>0</v>
      </c>
      <c r="Q16" t="s">
        <v>147</v>
      </c>
    </row>
    <row r="17" spans="1:17" x14ac:dyDescent="0.2">
      <c r="A17" t="s">
        <v>17</v>
      </c>
      <c r="B17">
        <v>10104001</v>
      </c>
      <c r="C17" t="s">
        <v>148</v>
      </c>
      <c r="D17">
        <v>2</v>
      </c>
      <c r="E17" t="s">
        <v>19</v>
      </c>
      <c r="F17" t="s">
        <v>149</v>
      </c>
      <c r="G17" t="s">
        <v>107</v>
      </c>
      <c r="H17" t="s">
        <v>22</v>
      </c>
      <c r="I17" t="s">
        <v>150</v>
      </c>
      <c r="J17" t="s">
        <v>151</v>
      </c>
      <c r="L17">
        <v>0</v>
      </c>
      <c r="Q17" t="s">
        <v>152</v>
      </c>
    </row>
    <row r="18" spans="1:17" x14ac:dyDescent="0.2">
      <c r="A18" t="s">
        <v>17</v>
      </c>
      <c r="B18">
        <v>10104028</v>
      </c>
      <c r="C18" t="s">
        <v>153</v>
      </c>
      <c r="D18">
        <v>2</v>
      </c>
      <c r="E18" t="s">
        <v>19</v>
      </c>
      <c r="F18" t="s">
        <v>154</v>
      </c>
      <c r="G18" t="s">
        <v>107</v>
      </c>
      <c r="H18" t="s">
        <v>22</v>
      </c>
      <c r="I18" t="s">
        <v>155</v>
      </c>
      <c r="J18" t="s">
        <v>87</v>
      </c>
      <c r="L18">
        <v>0</v>
      </c>
      <c r="Q18" t="s">
        <v>152</v>
      </c>
    </row>
    <row r="19" spans="1:17" x14ac:dyDescent="0.2">
      <c r="A19" t="s">
        <v>17</v>
      </c>
      <c r="B19">
        <v>10104007</v>
      </c>
      <c r="C19" t="s">
        <v>156</v>
      </c>
      <c r="D19">
        <v>1</v>
      </c>
      <c r="E19" t="s">
        <v>19</v>
      </c>
      <c r="F19" t="s">
        <v>157</v>
      </c>
      <c r="G19" t="s">
        <v>107</v>
      </c>
      <c r="H19" t="s">
        <v>22</v>
      </c>
      <c r="I19" t="s">
        <v>158</v>
      </c>
      <c r="J19" t="s">
        <v>158</v>
      </c>
      <c r="L19">
        <v>0</v>
      </c>
      <c r="Q19" t="s">
        <v>152</v>
      </c>
    </row>
    <row r="20" spans="1:17" x14ac:dyDescent="0.2">
      <c r="A20" t="s">
        <v>17</v>
      </c>
      <c r="B20">
        <v>10104027</v>
      </c>
      <c r="C20" t="s">
        <v>159</v>
      </c>
      <c r="D20">
        <v>1</v>
      </c>
      <c r="E20" t="s">
        <v>19</v>
      </c>
      <c r="F20" t="s">
        <v>160</v>
      </c>
      <c r="G20" t="s">
        <v>107</v>
      </c>
      <c r="H20" t="s">
        <v>22</v>
      </c>
      <c r="I20" t="s">
        <v>161</v>
      </c>
      <c r="J20" t="s">
        <v>161</v>
      </c>
      <c r="L20">
        <v>0</v>
      </c>
      <c r="Q20" t="s">
        <v>152</v>
      </c>
    </row>
    <row r="21" spans="1:17" x14ac:dyDescent="0.2">
      <c r="A21" t="s">
        <v>17</v>
      </c>
      <c r="B21">
        <v>10403016</v>
      </c>
      <c r="C21" t="s">
        <v>162</v>
      </c>
      <c r="D21">
        <v>2E-3</v>
      </c>
      <c r="E21" t="s">
        <v>163</v>
      </c>
      <c r="G21" t="s">
        <v>107</v>
      </c>
      <c r="H21" t="s">
        <v>22</v>
      </c>
      <c r="I21" t="s">
        <v>164</v>
      </c>
      <c r="J21" t="s">
        <v>165</v>
      </c>
      <c r="L21">
        <v>0</v>
      </c>
    </row>
    <row r="22" spans="1:17" x14ac:dyDescent="0.2">
      <c r="A22" t="s">
        <v>17</v>
      </c>
      <c r="B22">
        <v>10201225</v>
      </c>
      <c r="C22" t="s">
        <v>166</v>
      </c>
      <c r="D22">
        <v>1</v>
      </c>
      <c r="E22" t="s">
        <v>19</v>
      </c>
      <c r="G22" t="s">
        <v>107</v>
      </c>
      <c r="H22" t="s">
        <v>22</v>
      </c>
      <c r="I22" t="s">
        <v>167</v>
      </c>
      <c r="J22" t="s">
        <v>167</v>
      </c>
      <c r="L22">
        <v>0</v>
      </c>
    </row>
    <row r="23" spans="1:17" x14ac:dyDescent="0.2">
      <c r="A23" t="s">
        <v>17</v>
      </c>
      <c r="B23">
        <v>10102006</v>
      </c>
      <c r="C23" t="s">
        <v>172</v>
      </c>
      <c r="D23">
        <v>3</v>
      </c>
      <c r="E23" t="s">
        <v>19</v>
      </c>
      <c r="F23" t="s">
        <v>169</v>
      </c>
      <c r="G23" t="s">
        <v>107</v>
      </c>
      <c r="H23" t="s">
        <v>22</v>
      </c>
      <c r="I23" t="s">
        <v>174</v>
      </c>
      <c r="J23" t="s">
        <v>284</v>
      </c>
      <c r="L23">
        <v>0</v>
      </c>
    </row>
    <row r="24" spans="1:17" x14ac:dyDescent="0.2">
      <c r="A24" t="s">
        <v>17</v>
      </c>
      <c r="B24">
        <v>10102112</v>
      </c>
      <c r="C24" t="s">
        <v>168</v>
      </c>
      <c r="D24">
        <v>1</v>
      </c>
      <c r="E24" t="s">
        <v>19</v>
      </c>
      <c r="F24" t="s">
        <v>173</v>
      </c>
      <c r="G24" t="s">
        <v>107</v>
      </c>
      <c r="H24" t="s">
        <v>22</v>
      </c>
      <c r="I24" t="s">
        <v>170</v>
      </c>
      <c r="J24" t="s">
        <v>170</v>
      </c>
      <c r="L24">
        <v>0</v>
      </c>
    </row>
    <row r="25" spans="1:17" x14ac:dyDescent="0.2">
      <c r="A25" t="s">
        <v>17</v>
      </c>
      <c r="B25">
        <v>10102016</v>
      </c>
      <c r="C25" t="s">
        <v>175</v>
      </c>
      <c r="D25">
        <v>2</v>
      </c>
      <c r="E25" t="s">
        <v>19</v>
      </c>
      <c r="F25" t="s">
        <v>176</v>
      </c>
      <c r="G25" t="s">
        <v>107</v>
      </c>
      <c r="H25" t="s">
        <v>22</v>
      </c>
      <c r="I25" t="s">
        <v>108</v>
      </c>
      <c r="J25" t="s">
        <v>77</v>
      </c>
      <c r="L25">
        <v>0</v>
      </c>
    </row>
    <row r="26" spans="1:17" x14ac:dyDescent="0.2">
      <c r="A26" t="s">
        <v>17</v>
      </c>
      <c r="B26">
        <v>10102014</v>
      </c>
      <c r="C26" t="s">
        <v>177</v>
      </c>
      <c r="D26">
        <v>1</v>
      </c>
      <c r="E26" t="s">
        <v>19</v>
      </c>
      <c r="F26" t="s">
        <v>178</v>
      </c>
      <c r="G26" t="s">
        <v>107</v>
      </c>
      <c r="H26" t="s">
        <v>22</v>
      </c>
      <c r="I26" t="s">
        <v>108</v>
      </c>
      <c r="J26" t="s">
        <v>108</v>
      </c>
      <c r="L26">
        <v>0</v>
      </c>
    </row>
    <row r="27" spans="1:17" x14ac:dyDescent="0.2">
      <c r="A27" t="s">
        <v>17</v>
      </c>
      <c r="B27">
        <v>10102015</v>
      </c>
      <c r="C27" t="s">
        <v>179</v>
      </c>
      <c r="D27">
        <v>1</v>
      </c>
      <c r="E27" t="s">
        <v>19</v>
      </c>
      <c r="F27" t="s">
        <v>180</v>
      </c>
      <c r="G27" t="s">
        <v>107</v>
      </c>
      <c r="H27" t="s">
        <v>22</v>
      </c>
      <c r="I27" t="s">
        <v>108</v>
      </c>
      <c r="J27" t="s">
        <v>108</v>
      </c>
      <c r="L27">
        <v>0</v>
      </c>
    </row>
    <row r="28" spans="1:17" x14ac:dyDescent="0.2">
      <c r="A28" t="s">
        <v>17</v>
      </c>
      <c r="B28">
        <v>10104004</v>
      </c>
      <c r="C28" t="s">
        <v>181</v>
      </c>
      <c r="D28">
        <v>1</v>
      </c>
      <c r="E28" t="s">
        <v>19</v>
      </c>
      <c r="F28" t="s">
        <v>182</v>
      </c>
      <c r="G28" t="s">
        <v>107</v>
      </c>
      <c r="H28" t="s">
        <v>183</v>
      </c>
      <c r="L28">
        <v>0</v>
      </c>
    </row>
    <row r="29" spans="1:17" x14ac:dyDescent="0.2">
      <c r="A29" t="s">
        <v>17</v>
      </c>
      <c r="H29" t="s">
        <v>22</v>
      </c>
      <c r="L29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E2D37-A14D-AC48-A53C-827B6A212119}">
  <dimension ref="A1:Q6"/>
  <sheetViews>
    <sheetView workbookViewId="0">
      <selection sqref="A1:R7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10106150</v>
      </c>
      <c r="C2" t="s">
        <v>260</v>
      </c>
      <c r="D2">
        <v>60</v>
      </c>
      <c r="E2" t="s">
        <v>19</v>
      </c>
      <c r="G2" t="s">
        <v>107</v>
      </c>
      <c r="H2" t="s">
        <v>22</v>
      </c>
      <c r="I2" t="s">
        <v>43</v>
      </c>
      <c r="J2" t="s">
        <v>354</v>
      </c>
      <c r="L2">
        <v>0</v>
      </c>
    </row>
    <row r="3" spans="1:17" x14ac:dyDescent="0.2">
      <c r="A3" t="s">
        <v>17</v>
      </c>
      <c r="B3">
        <v>10101587</v>
      </c>
      <c r="C3" t="s">
        <v>263</v>
      </c>
      <c r="D3">
        <v>1</v>
      </c>
      <c r="E3" t="s">
        <v>19</v>
      </c>
      <c r="G3" t="s">
        <v>107</v>
      </c>
      <c r="H3" t="s">
        <v>22</v>
      </c>
      <c r="I3" t="s">
        <v>264</v>
      </c>
      <c r="J3" t="s">
        <v>264</v>
      </c>
      <c r="L3">
        <v>0</v>
      </c>
    </row>
    <row r="4" spans="1:17" x14ac:dyDescent="0.2">
      <c r="A4" t="s">
        <v>17</v>
      </c>
      <c r="B4">
        <v>10403005</v>
      </c>
      <c r="C4" t="s">
        <v>265</v>
      </c>
      <c r="D4">
        <v>1E-3</v>
      </c>
      <c r="E4" t="s">
        <v>30</v>
      </c>
      <c r="G4" t="s">
        <v>107</v>
      </c>
      <c r="H4" t="s">
        <v>22</v>
      </c>
      <c r="I4" t="s">
        <v>266</v>
      </c>
      <c r="J4" t="s">
        <v>267</v>
      </c>
      <c r="L4">
        <v>0</v>
      </c>
    </row>
    <row r="5" spans="1:17" x14ac:dyDescent="0.2">
      <c r="A5" t="s">
        <v>17</v>
      </c>
      <c r="B5">
        <v>10306419</v>
      </c>
      <c r="C5" t="s">
        <v>78</v>
      </c>
      <c r="D5">
        <v>1</v>
      </c>
      <c r="E5" t="s">
        <v>19</v>
      </c>
      <c r="G5" t="s">
        <v>107</v>
      </c>
      <c r="H5" t="s">
        <v>22</v>
      </c>
      <c r="I5" t="s">
        <v>268</v>
      </c>
      <c r="J5" t="s">
        <v>268</v>
      </c>
      <c r="L5">
        <v>0</v>
      </c>
    </row>
    <row r="6" spans="1:17" x14ac:dyDescent="0.2">
      <c r="A6" t="s">
        <v>17</v>
      </c>
      <c r="H6" t="s">
        <v>22</v>
      </c>
      <c r="L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F4DEC-0599-4444-B478-771C5BE9D477}">
  <dimension ref="A1:Q30"/>
  <sheetViews>
    <sheetView workbookViewId="0">
      <selection activeCell="B18" sqref="B18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20603159</v>
      </c>
      <c r="C2" t="s">
        <v>355</v>
      </c>
      <c r="D2">
        <v>1</v>
      </c>
      <c r="E2" t="s">
        <v>19</v>
      </c>
      <c r="G2" t="s">
        <v>21</v>
      </c>
      <c r="H2" t="s">
        <v>22</v>
      </c>
      <c r="I2" t="s">
        <v>356</v>
      </c>
      <c r="J2" t="s">
        <v>356</v>
      </c>
      <c r="L2">
        <v>0</v>
      </c>
    </row>
    <row r="3" spans="1:17" x14ac:dyDescent="0.2">
      <c r="A3" t="s">
        <v>17</v>
      </c>
      <c r="B3">
        <v>20203354</v>
      </c>
      <c r="C3" t="s">
        <v>26</v>
      </c>
      <c r="D3">
        <v>1</v>
      </c>
      <c r="E3" t="s">
        <v>19</v>
      </c>
      <c r="G3" t="s">
        <v>21</v>
      </c>
      <c r="H3" t="s">
        <v>22</v>
      </c>
      <c r="I3" t="s">
        <v>357</v>
      </c>
      <c r="J3" t="s">
        <v>357</v>
      </c>
      <c r="L3">
        <v>0</v>
      </c>
    </row>
    <row r="4" spans="1:17" x14ac:dyDescent="0.2">
      <c r="A4" t="s">
        <v>17</v>
      </c>
      <c r="B4">
        <v>10310001</v>
      </c>
      <c r="C4" t="s">
        <v>54</v>
      </c>
      <c r="D4">
        <v>1</v>
      </c>
      <c r="E4" t="s">
        <v>19</v>
      </c>
      <c r="G4" t="s">
        <v>21</v>
      </c>
      <c r="H4" t="s">
        <v>22</v>
      </c>
      <c r="I4" t="s">
        <v>56</v>
      </c>
      <c r="J4" t="s">
        <v>56</v>
      </c>
      <c r="L4">
        <v>0</v>
      </c>
    </row>
    <row r="5" spans="1:17" x14ac:dyDescent="0.2">
      <c r="A5" t="s">
        <v>17</v>
      </c>
      <c r="B5">
        <v>10304118</v>
      </c>
      <c r="C5" t="s">
        <v>88</v>
      </c>
      <c r="D5">
        <v>1</v>
      </c>
      <c r="E5" t="s">
        <v>19</v>
      </c>
      <c r="G5" t="s">
        <v>21</v>
      </c>
      <c r="H5" t="s">
        <v>22</v>
      </c>
      <c r="I5" t="s">
        <v>90</v>
      </c>
      <c r="J5" t="s">
        <v>90</v>
      </c>
      <c r="L5">
        <v>0</v>
      </c>
    </row>
    <row r="6" spans="1:17" x14ac:dyDescent="0.2">
      <c r="A6" t="s">
        <v>17</v>
      </c>
      <c r="B6">
        <v>10308588</v>
      </c>
      <c r="C6" t="s">
        <v>61</v>
      </c>
      <c r="D6">
        <v>8.3299999999999999E-2</v>
      </c>
      <c r="E6" t="s">
        <v>19</v>
      </c>
      <c r="F6" t="s">
        <v>38</v>
      </c>
      <c r="G6" t="s">
        <v>21</v>
      </c>
      <c r="H6" t="s">
        <v>22</v>
      </c>
      <c r="I6" t="s">
        <v>358</v>
      </c>
      <c r="J6" t="s">
        <v>359</v>
      </c>
      <c r="L6">
        <v>0</v>
      </c>
    </row>
    <row r="7" spans="1:17" x14ac:dyDescent="0.2">
      <c r="A7" t="s">
        <v>17</v>
      </c>
      <c r="B7">
        <v>10308589</v>
      </c>
      <c r="C7" t="s">
        <v>59</v>
      </c>
      <c r="D7">
        <v>1</v>
      </c>
      <c r="E7" t="s">
        <v>19</v>
      </c>
      <c r="F7" t="s">
        <v>38</v>
      </c>
      <c r="G7" t="s">
        <v>21</v>
      </c>
      <c r="H7" t="s">
        <v>22</v>
      </c>
      <c r="I7" t="s">
        <v>60</v>
      </c>
      <c r="J7" t="s">
        <v>60</v>
      </c>
      <c r="L7">
        <v>0</v>
      </c>
    </row>
    <row r="8" spans="1:17" x14ac:dyDescent="0.2">
      <c r="A8" t="s">
        <v>17</v>
      </c>
      <c r="B8">
        <v>10308590</v>
      </c>
      <c r="C8" t="s">
        <v>57</v>
      </c>
      <c r="D8">
        <v>1</v>
      </c>
      <c r="E8" t="s">
        <v>19</v>
      </c>
      <c r="F8" t="s">
        <v>38</v>
      </c>
      <c r="G8" t="s">
        <v>21</v>
      </c>
      <c r="H8" t="s">
        <v>22</v>
      </c>
      <c r="I8" t="s">
        <v>189</v>
      </c>
      <c r="J8" t="s">
        <v>189</v>
      </c>
      <c r="L8">
        <v>0</v>
      </c>
    </row>
    <row r="9" spans="1:17" x14ac:dyDescent="0.2">
      <c r="A9" t="s">
        <v>17</v>
      </c>
      <c r="B9">
        <v>10302449</v>
      </c>
      <c r="C9" t="s">
        <v>96</v>
      </c>
      <c r="D9">
        <v>4</v>
      </c>
      <c r="E9" t="s">
        <v>19</v>
      </c>
      <c r="F9" t="s">
        <v>97</v>
      </c>
      <c r="G9" t="s">
        <v>21</v>
      </c>
      <c r="H9" t="s">
        <v>22</v>
      </c>
      <c r="I9" t="s">
        <v>360</v>
      </c>
      <c r="J9" t="s">
        <v>361</v>
      </c>
      <c r="L9">
        <v>0</v>
      </c>
    </row>
    <row r="10" spans="1:17" x14ac:dyDescent="0.2">
      <c r="A10" t="s">
        <v>17</v>
      </c>
      <c r="B10">
        <v>10307261</v>
      </c>
      <c r="C10" t="s">
        <v>64</v>
      </c>
      <c r="D10">
        <v>11</v>
      </c>
      <c r="E10" t="s">
        <v>19</v>
      </c>
      <c r="F10" t="s">
        <v>65</v>
      </c>
      <c r="G10" t="s">
        <v>21</v>
      </c>
      <c r="H10" t="s">
        <v>22</v>
      </c>
      <c r="I10" t="s">
        <v>66</v>
      </c>
      <c r="J10" t="s">
        <v>67</v>
      </c>
      <c r="L10">
        <v>0</v>
      </c>
    </row>
    <row r="11" spans="1:17" x14ac:dyDescent="0.2">
      <c r="A11" t="s">
        <v>17</v>
      </c>
      <c r="B11">
        <v>10310039</v>
      </c>
      <c r="C11" t="s">
        <v>51</v>
      </c>
      <c r="D11">
        <v>1</v>
      </c>
      <c r="E11" t="s">
        <v>19</v>
      </c>
      <c r="F11" t="s">
        <v>52</v>
      </c>
      <c r="G11" t="s">
        <v>21</v>
      </c>
      <c r="H11" t="s">
        <v>22</v>
      </c>
      <c r="I11" t="s">
        <v>53</v>
      </c>
      <c r="J11" t="s">
        <v>53</v>
      </c>
      <c r="L11">
        <v>0</v>
      </c>
    </row>
    <row r="12" spans="1:17" x14ac:dyDescent="0.2">
      <c r="A12" t="s">
        <v>17</v>
      </c>
      <c r="B12">
        <v>10306354</v>
      </c>
      <c r="C12" t="s">
        <v>84</v>
      </c>
      <c r="D12">
        <v>1</v>
      </c>
      <c r="E12" t="s">
        <v>19</v>
      </c>
      <c r="F12" t="s">
        <v>38</v>
      </c>
      <c r="G12" t="s">
        <v>21</v>
      </c>
      <c r="H12" t="s">
        <v>22</v>
      </c>
      <c r="I12" t="s">
        <v>362</v>
      </c>
      <c r="J12" t="s">
        <v>362</v>
      </c>
      <c r="L12">
        <v>0</v>
      </c>
    </row>
    <row r="13" spans="1:17" x14ac:dyDescent="0.2">
      <c r="A13" t="s">
        <v>17</v>
      </c>
      <c r="B13">
        <v>10403018</v>
      </c>
      <c r="C13" t="s">
        <v>44</v>
      </c>
      <c r="D13">
        <v>0.25</v>
      </c>
      <c r="E13" t="s">
        <v>19</v>
      </c>
      <c r="F13" t="s">
        <v>38</v>
      </c>
      <c r="G13" t="s">
        <v>21</v>
      </c>
      <c r="H13" t="s">
        <v>22</v>
      </c>
      <c r="I13" t="s">
        <v>45</v>
      </c>
      <c r="J13" t="s">
        <v>46</v>
      </c>
      <c r="L13">
        <v>0</v>
      </c>
    </row>
    <row r="14" spans="1:17" x14ac:dyDescent="0.2">
      <c r="A14" t="s">
        <v>17</v>
      </c>
      <c r="B14">
        <v>10403075</v>
      </c>
      <c r="C14" t="s">
        <v>41</v>
      </c>
      <c r="D14">
        <v>1</v>
      </c>
      <c r="E14" t="s">
        <v>19</v>
      </c>
      <c r="F14" t="s">
        <v>42</v>
      </c>
      <c r="G14" t="s">
        <v>21</v>
      </c>
      <c r="H14" t="s">
        <v>22</v>
      </c>
      <c r="I14" t="s">
        <v>43</v>
      </c>
      <c r="J14" t="s">
        <v>43</v>
      </c>
      <c r="L14">
        <v>0</v>
      </c>
    </row>
    <row r="15" spans="1:17" x14ac:dyDescent="0.2">
      <c r="A15" t="s">
        <v>17</v>
      </c>
      <c r="B15">
        <v>10403235</v>
      </c>
      <c r="C15" t="s">
        <v>29</v>
      </c>
      <c r="D15">
        <v>1E-3</v>
      </c>
      <c r="E15" t="s">
        <v>30</v>
      </c>
      <c r="F15" t="s">
        <v>31</v>
      </c>
      <c r="G15" t="s">
        <v>21</v>
      </c>
      <c r="H15" t="s">
        <v>22</v>
      </c>
      <c r="I15" t="s">
        <v>32</v>
      </c>
      <c r="J15" t="s">
        <v>33</v>
      </c>
      <c r="L15">
        <v>0</v>
      </c>
    </row>
    <row r="16" spans="1:17" x14ac:dyDescent="0.2">
      <c r="A16" t="s">
        <v>17</v>
      </c>
      <c r="B16">
        <v>10403009</v>
      </c>
      <c r="C16" t="s">
        <v>47</v>
      </c>
      <c r="D16">
        <v>1E-4</v>
      </c>
      <c r="E16" t="s">
        <v>30</v>
      </c>
      <c r="F16" t="s">
        <v>48</v>
      </c>
      <c r="G16" t="s">
        <v>21</v>
      </c>
      <c r="H16" t="s">
        <v>22</v>
      </c>
      <c r="I16" t="s">
        <v>363</v>
      </c>
      <c r="J16" t="s">
        <v>364</v>
      </c>
      <c r="L16">
        <v>0</v>
      </c>
    </row>
    <row r="17" spans="1:12" x14ac:dyDescent="0.2">
      <c r="A17" t="s">
        <v>17</v>
      </c>
      <c r="B17">
        <v>10403086</v>
      </c>
      <c r="C17" t="s">
        <v>37</v>
      </c>
      <c r="D17">
        <v>2.1999999999999999E-2</v>
      </c>
      <c r="E17" t="s">
        <v>19</v>
      </c>
      <c r="F17" t="s">
        <v>38</v>
      </c>
      <c r="G17" t="s">
        <v>21</v>
      </c>
      <c r="H17" t="s">
        <v>22</v>
      </c>
      <c r="I17" t="s">
        <v>39</v>
      </c>
      <c r="J17" t="s">
        <v>40</v>
      </c>
      <c r="L17">
        <v>0</v>
      </c>
    </row>
    <row r="18" spans="1:12" x14ac:dyDescent="0.2">
      <c r="A18" t="s">
        <v>17</v>
      </c>
      <c r="B18">
        <v>20405402</v>
      </c>
      <c r="C18" t="s">
        <v>23</v>
      </c>
      <c r="D18">
        <v>1</v>
      </c>
      <c r="E18" t="s">
        <v>19</v>
      </c>
      <c r="G18" t="s">
        <v>21</v>
      </c>
      <c r="H18" t="s">
        <v>22</v>
      </c>
      <c r="I18" t="s">
        <v>365</v>
      </c>
      <c r="J18" t="s">
        <v>365</v>
      </c>
      <c r="L18">
        <v>0</v>
      </c>
    </row>
    <row r="19" spans="1:12" x14ac:dyDescent="0.2">
      <c r="A19" t="s">
        <v>17</v>
      </c>
      <c r="B19">
        <v>10302319</v>
      </c>
      <c r="C19" t="s">
        <v>102</v>
      </c>
      <c r="D19">
        <v>1</v>
      </c>
      <c r="E19" t="s">
        <v>19</v>
      </c>
      <c r="F19" t="s">
        <v>103</v>
      </c>
      <c r="G19" t="s">
        <v>21</v>
      </c>
      <c r="H19" t="s">
        <v>22</v>
      </c>
      <c r="I19" t="s">
        <v>280</v>
      </c>
      <c r="J19" t="s">
        <v>280</v>
      </c>
      <c r="L19">
        <v>0</v>
      </c>
    </row>
    <row r="20" spans="1:12" x14ac:dyDescent="0.2">
      <c r="A20" t="s">
        <v>17</v>
      </c>
      <c r="B20">
        <v>10306285</v>
      </c>
      <c r="C20" t="s">
        <v>85</v>
      </c>
      <c r="D20">
        <v>1</v>
      </c>
      <c r="E20" t="s">
        <v>19</v>
      </c>
      <c r="F20" t="s">
        <v>86</v>
      </c>
      <c r="G20" t="s">
        <v>21</v>
      </c>
      <c r="H20" t="s">
        <v>22</v>
      </c>
      <c r="I20" t="s">
        <v>87</v>
      </c>
      <c r="J20" t="s">
        <v>87</v>
      </c>
      <c r="L20">
        <v>0</v>
      </c>
    </row>
    <row r="21" spans="1:12" x14ac:dyDescent="0.2">
      <c r="A21" t="s">
        <v>17</v>
      </c>
      <c r="B21">
        <v>10303283</v>
      </c>
      <c r="C21" t="s">
        <v>91</v>
      </c>
      <c r="D21">
        <v>1</v>
      </c>
      <c r="E21" t="s">
        <v>19</v>
      </c>
      <c r="F21" t="s">
        <v>92</v>
      </c>
      <c r="G21" t="s">
        <v>21</v>
      </c>
      <c r="H21" t="s">
        <v>22</v>
      </c>
      <c r="I21" t="s">
        <v>93</v>
      </c>
      <c r="J21" t="s">
        <v>93</v>
      </c>
      <c r="L21">
        <v>0</v>
      </c>
    </row>
    <row r="22" spans="1:12" x14ac:dyDescent="0.2">
      <c r="A22" t="s">
        <v>17</v>
      </c>
      <c r="B22">
        <v>10302349</v>
      </c>
      <c r="C22" t="s">
        <v>99</v>
      </c>
      <c r="D22">
        <v>1</v>
      </c>
      <c r="E22" t="s">
        <v>19</v>
      </c>
      <c r="F22" t="s">
        <v>100</v>
      </c>
      <c r="G22" t="s">
        <v>21</v>
      </c>
      <c r="H22" t="s">
        <v>22</v>
      </c>
      <c r="I22" t="s">
        <v>101</v>
      </c>
      <c r="J22" t="s">
        <v>101</v>
      </c>
      <c r="L22">
        <v>0</v>
      </c>
    </row>
    <row r="23" spans="1:12" x14ac:dyDescent="0.2">
      <c r="A23" t="s">
        <v>17</v>
      </c>
      <c r="B23">
        <v>10302735</v>
      </c>
      <c r="C23" t="s">
        <v>94</v>
      </c>
      <c r="D23">
        <v>1</v>
      </c>
      <c r="E23" t="s">
        <v>19</v>
      </c>
      <c r="F23" t="s">
        <v>95</v>
      </c>
      <c r="G23" t="s">
        <v>21</v>
      </c>
      <c r="H23" t="s">
        <v>22</v>
      </c>
      <c r="I23" t="s">
        <v>87</v>
      </c>
      <c r="J23" t="s">
        <v>87</v>
      </c>
      <c r="L23">
        <v>0</v>
      </c>
    </row>
    <row r="24" spans="1:12" x14ac:dyDescent="0.2">
      <c r="A24" t="s">
        <v>17</v>
      </c>
      <c r="B24">
        <v>10306416</v>
      </c>
      <c r="C24" t="s">
        <v>81</v>
      </c>
      <c r="D24">
        <v>2</v>
      </c>
      <c r="E24" t="s">
        <v>19</v>
      </c>
      <c r="G24" t="s">
        <v>21</v>
      </c>
      <c r="H24" t="s">
        <v>22</v>
      </c>
      <c r="I24" t="s">
        <v>83</v>
      </c>
      <c r="J24" t="s">
        <v>281</v>
      </c>
      <c r="L24">
        <v>0</v>
      </c>
    </row>
    <row r="25" spans="1:12" x14ac:dyDescent="0.2">
      <c r="A25" t="s">
        <v>17</v>
      </c>
      <c r="B25">
        <v>10306626</v>
      </c>
      <c r="C25" t="s">
        <v>75</v>
      </c>
      <c r="D25">
        <v>1</v>
      </c>
      <c r="E25" t="s">
        <v>19</v>
      </c>
      <c r="F25" t="s">
        <v>76</v>
      </c>
      <c r="G25" t="s">
        <v>21</v>
      </c>
      <c r="H25" t="s">
        <v>22</v>
      </c>
      <c r="I25" t="s">
        <v>77</v>
      </c>
      <c r="J25" t="s">
        <v>77</v>
      </c>
      <c r="L25">
        <v>0</v>
      </c>
    </row>
    <row r="26" spans="1:12" x14ac:dyDescent="0.2">
      <c r="A26" t="s">
        <v>17</v>
      </c>
      <c r="B26">
        <v>10306887</v>
      </c>
      <c r="C26" t="s">
        <v>68</v>
      </c>
      <c r="D26">
        <v>1</v>
      </c>
      <c r="E26" t="s">
        <v>19</v>
      </c>
      <c r="F26" t="s">
        <v>69</v>
      </c>
      <c r="G26" t="s">
        <v>21</v>
      </c>
      <c r="H26" t="s">
        <v>22</v>
      </c>
      <c r="I26" t="s">
        <v>70</v>
      </c>
      <c r="J26" t="s">
        <v>70</v>
      </c>
      <c r="L26">
        <v>0</v>
      </c>
    </row>
    <row r="27" spans="1:12" x14ac:dyDescent="0.2">
      <c r="A27" t="s">
        <v>17</v>
      </c>
      <c r="B27">
        <v>10306419</v>
      </c>
      <c r="C27" t="s">
        <v>78</v>
      </c>
      <c r="D27">
        <v>1</v>
      </c>
      <c r="E27" t="s">
        <v>19</v>
      </c>
      <c r="F27" t="s">
        <v>79</v>
      </c>
      <c r="G27" t="s">
        <v>21</v>
      </c>
      <c r="H27" t="s">
        <v>22</v>
      </c>
      <c r="I27" t="s">
        <v>80</v>
      </c>
      <c r="J27" t="s">
        <v>80</v>
      </c>
      <c r="L27">
        <v>0</v>
      </c>
    </row>
    <row r="28" spans="1:12" x14ac:dyDescent="0.2">
      <c r="A28" t="s">
        <v>17</v>
      </c>
      <c r="B28">
        <v>10403110</v>
      </c>
      <c r="C28" t="s">
        <v>34</v>
      </c>
      <c r="D28">
        <v>1</v>
      </c>
      <c r="E28" t="s">
        <v>19</v>
      </c>
      <c r="F28" t="s">
        <v>35</v>
      </c>
      <c r="G28" t="s">
        <v>21</v>
      </c>
      <c r="H28" t="s">
        <v>22</v>
      </c>
      <c r="I28" t="s">
        <v>36</v>
      </c>
      <c r="J28" t="s">
        <v>36</v>
      </c>
      <c r="L28">
        <v>0</v>
      </c>
    </row>
    <row r="29" spans="1:12" x14ac:dyDescent="0.2">
      <c r="A29" t="s">
        <v>17</v>
      </c>
      <c r="B29">
        <v>10306708</v>
      </c>
      <c r="C29" t="s">
        <v>71</v>
      </c>
      <c r="D29">
        <v>1.5</v>
      </c>
      <c r="E29" t="s">
        <v>72</v>
      </c>
      <c r="F29" t="s">
        <v>282</v>
      </c>
      <c r="G29" t="s">
        <v>21</v>
      </c>
      <c r="H29" t="s">
        <v>22</v>
      </c>
      <c r="I29" t="s">
        <v>73</v>
      </c>
      <c r="J29" t="s">
        <v>74</v>
      </c>
      <c r="L29">
        <v>0</v>
      </c>
    </row>
    <row r="30" spans="1:12" x14ac:dyDescent="0.2">
      <c r="A30" t="s">
        <v>17</v>
      </c>
      <c r="H30" t="s">
        <v>22</v>
      </c>
      <c r="L30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A9CB-A7CA-4945-B6D3-35F133218EB0}">
  <dimension ref="A5:Q40"/>
  <sheetViews>
    <sheetView workbookViewId="0">
      <selection activeCell="J10" sqref="J10"/>
    </sheetView>
  </sheetViews>
  <sheetFormatPr baseColWidth="10" defaultRowHeight="16" x14ac:dyDescent="0.2"/>
  <sheetData>
    <row r="5" spans="1:17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</row>
    <row r="6" spans="1:17" x14ac:dyDescent="0.2">
      <c r="A6" t="s">
        <v>17</v>
      </c>
      <c r="B6">
        <v>20503168</v>
      </c>
      <c r="C6" t="s">
        <v>184</v>
      </c>
      <c r="D6">
        <v>1</v>
      </c>
      <c r="E6" t="s">
        <v>19</v>
      </c>
      <c r="G6" t="s">
        <v>185</v>
      </c>
      <c r="H6" t="s">
        <v>22</v>
      </c>
      <c r="I6" t="s">
        <v>366</v>
      </c>
      <c r="J6" t="s">
        <v>366</v>
      </c>
      <c r="L6">
        <v>0</v>
      </c>
    </row>
    <row r="7" spans="1:17" x14ac:dyDescent="0.2">
      <c r="A7" t="s">
        <v>17</v>
      </c>
      <c r="B7">
        <v>10203013</v>
      </c>
      <c r="C7" t="s">
        <v>191</v>
      </c>
      <c r="D7">
        <v>1</v>
      </c>
      <c r="E7" t="s">
        <v>19</v>
      </c>
      <c r="F7" t="s">
        <v>192</v>
      </c>
      <c r="G7" t="s">
        <v>185</v>
      </c>
      <c r="H7" t="s">
        <v>22</v>
      </c>
      <c r="I7" t="s">
        <v>367</v>
      </c>
      <c r="J7" t="s">
        <v>367</v>
      </c>
      <c r="L7">
        <v>0</v>
      </c>
      <c r="Q7" t="s">
        <v>348</v>
      </c>
    </row>
    <row r="8" spans="1:17" x14ac:dyDescent="0.2">
      <c r="A8" t="s">
        <v>17</v>
      </c>
      <c r="B8">
        <v>10203014</v>
      </c>
      <c r="C8" t="s">
        <v>194</v>
      </c>
      <c r="D8">
        <v>1</v>
      </c>
      <c r="E8" t="s">
        <v>19</v>
      </c>
      <c r="F8" t="s">
        <v>195</v>
      </c>
      <c r="G8" t="s">
        <v>185</v>
      </c>
      <c r="H8" t="s">
        <v>22</v>
      </c>
      <c r="I8" t="s">
        <v>368</v>
      </c>
      <c r="J8" t="s">
        <v>368</v>
      </c>
      <c r="L8">
        <v>0</v>
      </c>
      <c r="Q8" t="s">
        <v>346</v>
      </c>
    </row>
    <row r="9" spans="1:17" x14ac:dyDescent="0.2">
      <c r="A9" t="s">
        <v>17</v>
      </c>
      <c r="B9">
        <v>10203012</v>
      </c>
      <c r="C9" t="s">
        <v>197</v>
      </c>
      <c r="D9">
        <v>1</v>
      </c>
      <c r="E9" t="s">
        <v>19</v>
      </c>
      <c r="F9" t="s">
        <v>198</v>
      </c>
      <c r="G9" t="s">
        <v>185</v>
      </c>
      <c r="H9" t="s">
        <v>22</v>
      </c>
      <c r="I9" t="s">
        <v>158</v>
      </c>
      <c r="J9" t="s">
        <v>158</v>
      </c>
      <c r="L9">
        <v>0</v>
      </c>
      <c r="Q9" t="s">
        <v>345</v>
      </c>
    </row>
    <row r="10" spans="1:17" x14ac:dyDescent="0.2">
      <c r="A10" t="s">
        <v>17</v>
      </c>
      <c r="B10">
        <v>10203016</v>
      </c>
      <c r="C10" t="s">
        <v>199</v>
      </c>
      <c r="D10">
        <v>1</v>
      </c>
      <c r="E10" t="s">
        <v>19</v>
      </c>
      <c r="F10" t="s">
        <v>200</v>
      </c>
      <c r="G10" t="s">
        <v>185</v>
      </c>
      <c r="H10" t="s">
        <v>22</v>
      </c>
      <c r="I10" t="s">
        <v>369</v>
      </c>
      <c r="J10" t="s">
        <v>369</v>
      </c>
      <c r="L10">
        <v>0</v>
      </c>
      <c r="Q10" t="s">
        <v>345</v>
      </c>
    </row>
    <row r="11" spans="1:17" x14ac:dyDescent="0.2">
      <c r="A11" t="s">
        <v>17</v>
      </c>
      <c r="B11">
        <v>10203005</v>
      </c>
      <c r="C11" t="s">
        <v>202</v>
      </c>
      <c r="D11">
        <v>1</v>
      </c>
      <c r="E11" t="s">
        <v>19</v>
      </c>
      <c r="F11" t="s">
        <v>203</v>
      </c>
      <c r="G11" t="s">
        <v>185</v>
      </c>
      <c r="H11" t="s">
        <v>22</v>
      </c>
      <c r="I11" t="s">
        <v>370</v>
      </c>
      <c r="J11" t="s">
        <v>370</v>
      </c>
      <c r="L11">
        <v>0</v>
      </c>
      <c r="Q11" t="s">
        <v>343</v>
      </c>
    </row>
    <row r="12" spans="1:17" x14ac:dyDescent="0.2">
      <c r="A12" t="s">
        <v>17</v>
      </c>
      <c r="B12">
        <v>10203128</v>
      </c>
      <c r="C12" t="s">
        <v>204</v>
      </c>
      <c r="D12">
        <v>1</v>
      </c>
      <c r="E12" t="s">
        <v>19</v>
      </c>
      <c r="F12" t="s">
        <v>205</v>
      </c>
      <c r="G12" t="s">
        <v>185</v>
      </c>
      <c r="H12" t="s">
        <v>22</v>
      </c>
      <c r="I12" t="s">
        <v>90</v>
      </c>
      <c r="J12" t="s">
        <v>90</v>
      </c>
      <c r="L12">
        <v>0</v>
      </c>
      <c r="Q12" t="s">
        <v>343</v>
      </c>
    </row>
    <row r="13" spans="1:17" x14ac:dyDescent="0.2">
      <c r="A13" t="s">
        <v>17</v>
      </c>
      <c r="B13">
        <v>10203039</v>
      </c>
      <c r="C13" t="s">
        <v>207</v>
      </c>
      <c r="D13">
        <v>1</v>
      </c>
      <c r="E13" t="s">
        <v>19</v>
      </c>
      <c r="F13" t="s">
        <v>208</v>
      </c>
      <c r="G13" t="s">
        <v>185</v>
      </c>
      <c r="H13" t="s">
        <v>22</v>
      </c>
      <c r="I13" t="s">
        <v>93</v>
      </c>
      <c r="J13" t="s">
        <v>93</v>
      </c>
      <c r="L13">
        <v>0</v>
      </c>
      <c r="Q13" t="s">
        <v>343</v>
      </c>
    </row>
    <row r="14" spans="1:17" x14ac:dyDescent="0.2">
      <c r="A14" t="s">
        <v>17</v>
      </c>
      <c r="B14">
        <v>10206016</v>
      </c>
      <c r="C14" t="s">
        <v>210</v>
      </c>
      <c r="D14">
        <v>1</v>
      </c>
      <c r="E14" t="s">
        <v>19</v>
      </c>
      <c r="F14" t="s">
        <v>211</v>
      </c>
      <c r="G14" t="s">
        <v>185</v>
      </c>
      <c r="H14" t="s">
        <v>22</v>
      </c>
      <c r="I14" t="s">
        <v>339</v>
      </c>
      <c r="J14" t="s">
        <v>339</v>
      </c>
      <c r="L14">
        <v>0</v>
      </c>
      <c r="Q14" t="s">
        <v>338</v>
      </c>
    </row>
    <row r="15" spans="1:17" x14ac:dyDescent="0.2">
      <c r="A15" t="s">
        <v>17</v>
      </c>
      <c r="B15">
        <v>10206018</v>
      </c>
      <c r="C15" t="s">
        <v>213</v>
      </c>
      <c r="D15">
        <v>1</v>
      </c>
      <c r="E15" t="s">
        <v>19</v>
      </c>
      <c r="F15" t="s">
        <v>214</v>
      </c>
      <c r="G15" t="s">
        <v>185</v>
      </c>
      <c r="H15" t="s">
        <v>22</v>
      </c>
      <c r="I15" t="s">
        <v>93</v>
      </c>
      <c r="J15" t="s">
        <v>93</v>
      </c>
      <c r="L15">
        <v>0</v>
      </c>
      <c r="Q15" t="s">
        <v>338</v>
      </c>
    </row>
    <row r="16" spans="1:17" x14ac:dyDescent="0.2">
      <c r="A16" t="s">
        <v>17</v>
      </c>
      <c r="B16">
        <v>10206002</v>
      </c>
      <c r="C16" t="s">
        <v>215</v>
      </c>
      <c r="D16">
        <v>2</v>
      </c>
      <c r="E16" t="s">
        <v>19</v>
      </c>
      <c r="F16" t="s">
        <v>340</v>
      </c>
      <c r="G16" t="s">
        <v>185</v>
      </c>
      <c r="H16" t="s">
        <v>22</v>
      </c>
      <c r="I16" t="s">
        <v>217</v>
      </c>
      <c r="J16" t="s">
        <v>218</v>
      </c>
      <c r="L16">
        <v>0</v>
      </c>
      <c r="Q16" t="s">
        <v>338</v>
      </c>
    </row>
    <row r="17" spans="1:17" x14ac:dyDescent="0.2">
      <c r="A17" t="s">
        <v>17</v>
      </c>
      <c r="B17">
        <v>10207058</v>
      </c>
      <c r="C17" t="s">
        <v>222</v>
      </c>
      <c r="D17">
        <v>1</v>
      </c>
      <c r="E17" t="s">
        <v>19</v>
      </c>
      <c r="F17" t="s">
        <v>223</v>
      </c>
      <c r="G17" t="s">
        <v>185</v>
      </c>
      <c r="H17" t="s">
        <v>22</v>
      </c>
      <c r="I17" t="s">
        <v>371</v>
      </c>
      <c r="J17" t="s">
        <v>371</v>
      </c>
      <c r="L17">
        <v>0</v>
      </c>
      <c r="Q17" t="s">
        <v>337</v>
      </c>
    </row>
    <row r="18" spans="1:17" x14ac:dyDescent="0.2">
      <c r="A18" t="s">
        <v>17</v>
      </c>
      <c r="B18">
        <v>10207108</v>
      </c>
      <c r="C18" t="s">
        <v>225</v>
      </c>
      <c r="D18">
        <v>1</v>
      </c>
      <c r="E18" t="s">
        <v>19</v>
      </c>
      <c r="F18" t="s">
        <v>226</v>
      </c>
      <c r="G18" t="s">
        <v>185</v>
      </c>
      <c r="H18" t="s">
        <v>22</v>
      </c>
      <c r="I18" t="s">
        <v>227</v>
      </c>
      <c r="J18" t="s">
        <v>227</v>
      </c>
      <c r="L18">
        <v>0</v>
      </c>
      <c r="Q18" t="s">
        <v>335</v>
      </c>
    </row>
    <row r="19" spans="1:17" x14ac:dyDescent="0.2">
      <c r="A19" t="s">
        <v>17</v>
      </c>
      <c r="B19">
        <v>10301455</v>
      </c>
      <c r="C19" t="s">
        <v>231</v>
      </c>
      <c r="D19">
        <v>0.2</v>
      </c>
      <c r="E19" t="s">
        <v>72</v>
      </c>
      <c r="F19" t="s">
        <v>232</v>
      </c>
      <c r="G19" t="s">
        <v>185</v>
      </c>
      <c r="H19" t="s">
        <v>22</v>
      </c>
      <c r="I19" t="s">
        <v>372</v>
      </c>
      <c r="J19" t="s">
        <v>373</v>
      </c>
      <c r="L19">
        <v>0</v>
      </c>
      <c r="Q19" t="s">
        <v>332</v>
      </c>
    </row>
    <row r="20" spans="1:17" x14ac:dyDescent="0.2">
      <c r="A20" t="s">
        <v>17</v>
      </c>
      <c r="B20">
        <v>10310039</v>
      </c>
      <c r="C20" t="s">
        <v>51</v>
      </c>
      <c r="D20">
        <v>1</v>
      </c>
      <c r="E20" t="s">
        <v>19</v>
      </c>
      <c r="F20" t="s">
        <v>324</v>
      </c>
      <c r="G20" t="s">
        <v>185</v>
      </c>
      <c r="H20" t="s">
        <v>22</v>
      </c>
      <c r="I20" t="s">
        <v>53</v>
      </c>
      <c r="J20" t="s">
        <v>53</v>
      </c>
      <c r="L20">
        <v>0</v>
      </c>
    </row>
    <row r="21" spans="1:17" x14ac:dyDescent="0.2">
      <c r="A21" t="s">
        <v>17</v>
      </c>
      <c r="B21">
        <v>20601106</v>
      </c>
      <c r="C21" t="s">
        <v>311</v>
      </c>
      <c r="D21">
        <v>1</v>
      </c>
      <c r="E21" t="s">
        <v>19</v>
      </c>
      <c r="G21" t="s">
        <v>185</v>
      </c>
      <c r="H21" t="s">
        <v>22</v>
      </c>
      <c r="I21" t="s">
        <v>312</v>
      </c>
      <c r="J21" t="s">
        <v>312</v>
      </c>
      <c r="L21">
        <v>0</v>
      </c>
    </row>
    <row r="22" spans="1:17" x14ac:dyDescent="0.2">
      <c r="A22" t="s">
        <v>17</v>
      </c>
      <c r="B22">
        <v>10403230</v>
      </c>
      <c r="C22" t="s">
        <v>237</v>
      </c>
      <c r="D22">
        <v>0.106</v>
      </c>
      <c r="E22" t="s">
        <v>30</v>
      </c>
      <c r="G22" t="s">
        <v>185</v>
      </c>
      <c r="H22" t="s">
        <v>22</v>
      </c>
      <c r="I22" t="s">
        <v>238</v>
      </c>
      <c r="J22" t="s">
        <v>374</v>
      </c>
      <c r="L22">
        <v>0</v>
      </c>
      <c r="Q22" t="s">
        <v>319</v>
      </c>
    </row>
    <row r="23" spans="1:17" x14ac:dyDescent="0.2">
      <c r="A23" t="s">
        <v>17</v>
      </c>
      <c r="B23">
        <v>10403231</v>
      </c>
      <c r="C23" t="s">
        <v>240</v>
      </c>
      <c r="D23">
        <v>0.106</v>
      </c>
      <c r="E23" t="s">
        <v>30</v>
      </c>
      <c r="G23" t="s">
        <v>185</v>
      </c>
      <c r="H23" t="s">
        <v>22</v>
      </c>
      <c r="I23" t="s">
        <v>238</v>
      </c>
      <c r="J23" t="s">
        <v>374</v>
      </c>
      <c r="L23">
        <v>0</v>
      </c>
      <c r="Q23" t="s">
        <v>319</v>
      </c>
    </row>
    <row r="24" spans="1:17" x14ac:dyDescent="0.2">
      <c r="A24" t="s">
        <v>17</v>
      </c>
      <c r="B24">
        <v>10403049</v>
      </c>
      <c r="C24" t="s">
        <v>241</v>
      </c>
      <c r="D24">
        <v>1.5E-3</v>
      </c>
      <c r="E24" t="s">
        <v>30</v>
      </c>
      <c r="G24" t="s">
        <v>185</v>
      </c>
      <c r="H24" t="s">
        <v>22</v>
      </c>
      <c r="I24" t="s">
        <v>375</v>
      </c>
      <c r="J24" t="s">
        <v>376</v>
      </c>
      <c r="L24">
        <v>0</v>
      </c>
      <c r="Q24" t="s">
        <v>301</v>
      </c>
    </row>
    <row r="25" spans="1:17" x14ac:dyDescent="0.2">
      <c r="A25" t="s">
        <v>17</v>
      </c>
      <c r="B25">
        <v>10403009</v>
      </c>
      <c r="C25" t="s">
        <v>47</v>
      </c>
      <c r="D25">
        <v>1.5E-3</v>
      </c>
      <c r="E25" t="s">
        <v>30</v>
      </c>
      <c r="G25" t="s">
        <v>185</v>
      </c>
      <c r="H25" t="s">
        <v>22</v>
      </c>
      <c r="I25" t="s">
        <v>377</v>
      </c>
      <c r="J25" t="s">
        <v>378</v>
      </c>
      <c r="L25">
        <v>0</v>
      </c>
      <c r="Q25" t="s">
        <v>301</v>
      </c>
    </row>
    <row r="26" spans="1:17" x14ac:dyDescent="0.2">
      <c r="A26" t="s">
        <v>17</v>
      </c>
      <c r="B26">
        <v>10403012</v>
      </c>
      <c r="C26" t="s">
        <v>245</v>
      </c>
      <c r="D26">
        <v>1E-3</v>
      </c>
      <c r="E26" t="s">
        <v>246</v>
      </c>
      <c r="G26" t="s">
        <v>185</v>
      </c>
      <c r="H26" t="s">
        <v>22</v>
      </c>
      <c r="I26" t="s">
        <v>247</v>
      </c>
      <c r="J26" t="s">
        <v>248</v>
      </c>
      <c r="L26">
        <v>0</v>
      </c>
      <c r="Q26" t="s">
        <v>301</v>
      </c>
    </row>
    <row r="27" spans="1:17" x14ac:dyDescent="0.2">
      <c r="A27" t="s">
        <v>17</v>
      </c>
      <c r="B27">
        <v>10403030</v>
      </c>
      <c r="C27" t="s">
        <v>249</v>
      </c>
      <c r="D27">
        <v>1E-3</v>
      </c>
      <c r="E27" t="s">
        <v>246</v>
      </c>
      <c r="G27" t="s">
        <v>185</v>
      </c>
      <c r="H27" t="s">
        <v>22</v>
      </c>
      <c r="I27" t="s">
        <v>250</v>
      </c>
      <c r="J27" t="s">
        <v>251</v>
      </c>
      <c r="L27">
        <v>0</v>
      </c>
      <c r="Q27" t="s">
        <v>321</v>
      </c>
    </row>
    <row r="28" spans="1:17" x14ac:dyDescent="0.2">
      <c r="A28" t="s">
        <v>17</v>
      </c>
      <c r="B28">
        <v>10403275</v>
      </c>
      <c r="C28" t="s">
        <v>307</v>
      </c>
      <c r="D28">
        <v>1.5E-3</v>
      </c>
      <c r="E28" t="s">
        <v>246</v>
      </c>
      <c r="G28" t="s">
        <v>185</v>
      </c>
      <c r="H28" t="s">
        <v>22</v>
      </c>
      <c r="I28" t="s">
        <v>308</v>
      </c>
      <c r="J28" t="s">
        <v>171</v>
      </c>
      <c r="L28">
        <v>0</v>
      </c>
    </row>
    <row r="29" spans="1:17" x14ac:dyDescent="0.2">
      <c r="A29" t="s">
        <v>17</v>
      </c>
      <c r="B29">
        <v>10202057</v>
      </c>
      <c r="C29" t="s">
        <v>187</v>
      </c>
      <c r="D29">
        <v>2</v>
      </c>
      <c r="E29" t="s">
        <v>19</v>
      </c>
      <c r="F29" t="s">
        <v>379</v>
      </c>
      <c r="G29" t="s">
        <v>185</v>
      </c>
      <c r="H29" t="s">
        <v>22</v>
      </c>
      <c r="I29" t="s">
        <v>352</v>
      </c>
      <c r="J29" t="s">
        <v>353</v>
      </c>
      <c r="L29">
        <v>0</v>
      </c>
    </row>
    <row r="30" spans="1:17" x14ac:dyDescent="0.2">
      <c r="A30" t="s">
        <v>17</v>
      </c>
      <c r="B30">
        <v>10301165</v>
      </c>
      <c r="C30" t="s">
        <v>258</v>
      </c>
      <c r="D30">
        <v>1</v>
      </c>
      <c r="E30" t="s">
        <v>19</v>
      </c>
      <c r="F30" t="s">
        <v>380</v>
      </c>
      <c r="G30" t="s">
        <v>185</v>
      </c>
      <c r="H30" t="s">
        <v>22</v>
      </c>
      <c r="I30" t="s">
        <v>381</v>
      </c>
      <c r="J30" t="s">
        <v>381</v>
      </c>
      <c r="L30">
        <v>0</v>
      </c>
    </row>
    <row r="31" spans="1:17" x14ac:dyDescent="0.2">
      <c r="A31" t="s">
        <v>17</v>
      </c>
      <c r="B31">
        <v>10303995</v>
      </c>
      <c r="C31" t="s">
        <v>235</v>
      </c>
      <c r="D31">
        <v>1</v>
      </c>
      <c r="E31" t="s">
        <v>19</v>
      </c>
      <c r="G31" t="s">
        <v>185</v>
      </c>
      <c r="H31" t="s">
        <v>22</v>
      </c>
      <c r="I31" t="s">
        <v>325</v>
      </c>
      <c r="J31" t="s">
        <v>325</v>
      </c>
      <c r="L31">
        <v>0</v>
      </c>
    </row>
    <row r="32" spans="1:17" x14ac:dyDescent="0.2">
      <c r="A32" t="s">
        <v>17</v>
      </c>
      <c r="B32">
        <v>10204057</v>
      </c>
      <c r="C32" t="s">
        <v>219</v>
      </c>
      <c r="D32">
        <v>1</v>
      </c>
      <c r="E32" t="s">
        <v>19</v>
      </c>
      <c r="F32" t="s">
        <v>220</v>
      </c>
      <c r="G32" t="s">
        <v>185</v>
      </c>
      <c r="H32" t="s">
        <v>22</v>
      </c>
      <c r="I32" t="s">
        <v>382</v>
      </c>
      <c r="J32" t="s">
        <v>382</v>
      </c>
      <c r="L32">
        <v>0</v>
      </c>
    </row>
    <row r="33" spans="1:12" x14ac:dyDescent="0.2">
      <c r="A33" t="s">
        <v>17</v>
      </c>
      <c r="B33">
        <v>10307241</v>
      </c>
      <c r="C33" t="s">
        <v>252</v>
      </c>
      <c r="D33">
        <v>1</v>
      </c>
      <c r="E33" t="s">
        <v>19</v>
      </c>
      <c r="F33" t="s">
        <v>220</v>
      </c>
      <c r="G33" t="s">
        <v>185</v>
      </c>
      <c r="H33" t="s">
        <v>22</v>
      </c>
      <c r="I33" t="s">
        <v>212</v>
      </c>
      <c r="J33" t="s">
        <v>212</v>
      </c>
      <c r="L33">
        <v>0</v>
      </c>
    </row>
    <row r="34" spans="1:12" x14ac:dyDescent="0.2">
      <c r="A34" t="s">
        <v>17</v>
      </c>
      <c r="B34">
        <v>10302145</v>
      </c>
      <c r="C34" t="s">
        <v>253</v>
      </c>
      <c r="D34">
        <v>1</v>
      </c>
      <c r="E34" t="s">
        <v>19</v>
      </c>
      <c r="G34" t="s">
        <v>185</v>
      </c>
      <c r="H34" t="s">
        <v>22</v>
      </c>
      <c r="I34" t="s">
        <v>254</v>
      </c>
      <c r="J34" t="s">
        <v>254</v>
      </c>
      <c r="L34">
        <v>0</v>
      </c>
    </row>
    <row r="35" spans="1:12" x14ac:dyDescent="0.2">
      <c r="A35" t="s">
        <v>17</v>
      </c>
      <c r="B35">
        <v>10403032</v>
      </c>
      <c r="C35" t="s">
        <v>255</v>
      </c>
      <c r="D35">
        <v>1E-3</v>
      </c>
      <c r="E35" t="s">
        <v>30</v>
      </c>
      <c r="G35" t="s">
        <v>185</v>
      </c>
      <c r="H35" t="s">
        <v>22</v>
      </c>
      <c r="I35" t="s">
        <v>256</v>
      </c>
      <c r="J35" t="s">
        <v>257</v>
      </c>
      <c r="L35">
        <v>0</v>
      </c>
    </row>
    <row r="36" spans="1:12" x14ac:dyDescent="0.2">
      <c r="A36" t="s">
        <v>17</v>
      </c>
      <c r="B36">
        <v>10301623</v>
      </c>
      <c r="C36" t="s">
        <v>326</v>
      </c>
      <c r="D36">
        <v>0.1</v>
      </c>
      <c r="E36" t="s">
        <v>72</v>
      </c>
      <c r="G36" t="s">
        <v>185</v>
      </c>
      <c r="H36" t="s">
        <v>22</v>
      </c>
      <c r="I36" t="s">
        <v>327</v>
      </c>
      <c r="J36" t="s">
        <v>328</v>
      </c>
      <c r="L36">
        <v>0</v>
      </c>
    </row>
    <row r="37" spans="1:12" x14ac:dyDescent="0.2">
      <c r="A37" t="s">
        <v>17</v>
      </c>
      <c r="B37">
        <v>10301621</v>
      </c>
      <c r="C37" t="s">
        <v>329</v>
      </c>
      <c r="D37">
        <v>0.1</v>
      </c>
      <c r="E37" t="s">
        <v>72</v>
      </c>
      <c r="G37" t="s">
        <v>185</v>
      </c>
      <c r="H37" t="s">
        <v>22</v>
      </c>
      <c r="I37" t="s">
        <v>327</v>
      </c>
      <c r="J37" t="s">
        <v>328</v>
      </c>
      <c r="L37">
        <v>0</v>
      </c>
    </row>
    <row r="38" spans="1:12" x14ac:dyDescent="0.2">
      <c r="A38" t="s">
        <v>17</v>
      </c>
      <c r="B38">
        <v>10301273</v>
      </c>
      <c r="C38" t="s">
        <v>333</v>
      </c>
      <c r="D38">
        <v>0.1</v>
      </c>
      <c r="E38" t="s">
        <v>72</v>
      </c>
      <c r="G38" t="s">
        <v>185</v>
      </c>
      <c r="H38" t="s">
        <v>22</v>
      </c>
      <c r="I38" t="s">
        <v>327</v>
      </c>
      <c r="J38" t="s">
        <v>328</v>
      </c>
      <c r="L38">
        <v>0</v>
      </c>
    </row>
    <row r="39" spans="1:12" x14ac:dyDescent="0.2">
      <c r="A39" t="s">
        <v>17</v>
      </c>
      <c r="B39">
        <v>10306419</v>
      </c>
      <c r="C39" t="s">
        <v>78</v>
      </c>
      <c r="D39">
        <v>1</v>
      </c>
      <c r="E39" t="s">
        <v>19</v>
      </c>
      <c r="G39" t="s">
        <v>185</v>
      </c>
      <c r="H39" t="s">
        <v>22</v>
      </c>
      <c r="I39" t="s">
        <v>77</v>
      </c>
      <c r="J39" t="s">
        <v>77</v>
      </c>
      <c r="L39">
        <v>0</v>
      </c>
    </row>
    <row r="40" spans="1:12" x14ac:dyDescent="0.2">
      <c r="A40" t="s">
        <v>17</v>
      </c>
      <c r="H40" t="s">
        <v>22</v>
      </c>
      <c r="L40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A031-8558-6740-9537-A6536C19E841}">
  <dimension ref="A1:Q30"/>
  <sheetViews>
    <sheetView workbookViewId="0">
      <selection sqref="A1:R31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20603169</v>
      </c>
      <c r="C2" t="s">
        <v>383</v>
      </c>
      <c r="D2">
        <v>1</v>
      </c>
      <c r="E2" t="s">
        <v>19</v>
      </c>
      <c r="G2" t="s">
        <v>21</v>
      </c>
      <c r="H2" t="s">
        <v>22</v>
      </c>
      <c r="I2" t="s">
        <v>384</v>
      </c>
      <c r="J2" t="s">
        <v>384</v>
      </c>
      <c r="L2">
        <v>0</v>
      </c>
    </row>
    <row r="3" spans="1:17" x14ac:dyDescent="0.2">
      <c r="A3" t="s">
        <v>17</v>
      </c>
      <c r="B3">
        <v>20405376</v>
      </c>
      <c r="C3" t="s">
        <v>278</v>
      </c>
      <c r="D3">
        <v>1</v>
      </c>
      <c r="E3" t="s">
        <v>19</v>
      </c>
      <c r="G3" t="s">
        <v>21</v>
      </c>
      <c r="H3" t="s">
        <v>22</v>
      </c>
      <c r="I3" t="s">
        <v>385</v>
      </c>
      <c r="J3" t="s">
        <v>385</v>
      </c>
      <c r="L3">
        <v>0</v>
      </c>
    </row>
    <row r="4" spans="1:17" x14ac:dyDescent="0.2">
      <c r="A4" t="s">
        <v>17</v>
      </c>
      <c r="B4">
        <v>20203354</v>
      </c>
      <c r="C4" t="s">
        <v>26</v>
      </c>
      <c r="D4">
        <v>1</v>
      </c>
      <c r="E4" t="s">
        <v>19</v>
      </c>
      <c r="G4" t="s">
        <v>21</v>
      </c>
      <c r="H4" t="s">
        <v>22</v>
      </c>
      <c r="I4" t="s">
        <v>386</v>
      </c>
      <c r="J4" t="s">
        <v>386</v>
      </c>
      <c r="L4">
        <v>0</v>
      </c>
    </row>
    <row r="5" spans="1:17" x14ac:dyDescent="0.2">
      <c r="A5" t="s">
        <v>17</v>
      </c>
      <c r="B5">
        <v>10403110</v>
      </c>
      <c r="C5" t="s">
        <v>34</v>
      </c>
      <c r="D5">
        <v>1</v>
      </c>
      <c r="E5" t="s">
        <v>19</v>
      </c>
      <c r="F5" t="s">
        <v>35</v>
      </c>
      <c r="G5" t="s">
        <v>21</v>
      </c>
      <c r="H5" t="s">
        <v>22</v>
      </c>
      <c r="I5" t="s">
        <v>124</v>
      </c>
      <c r="J5" t="s">
        <v>124</v>
      </c>
      <c r="L5">
        <v>0</v>
      </c>
    </row>
    <row r="6" spans="1:17" x14ac:dyDescent="0.2">
      <c r="A6" t="s">
        <v>17</v>
      </c>
      <c r="B6">
        <v>10403086</v>
      </c>
      <c r="C6" t="s">
        <v>37</v>
      </c>
      <c r="D6">
        <v>2.1999999999999999E-2</v>
      </c>
      <c r="E6" t="s">
        <v>19</v>
      </c>
      <c r="F6" t="s">
        <v>38</v>
      </c>
      <c r="G6" t="s">
        <v>21</v>
      </c>
      <c r="H6" t="s">
        <v>22</v>
      </c>
      <c r="I6" t="s">
        <v>39</v>
      </c>
      <c r="J6" t="s">
        <v>40</v>
      </c>
      <c r="L6">
        <v>0</v>
      </c>
    </row>
    <row r="7" spans="1:17" x14ac:dyDescent="0.2">
      <c r="A7" t="s">
        <v>17</v>
      </c>
      <c r="B7">
        <v>10403075</v>
      </c>
      <c r="C7" t="s">
        <v>41</v>
      </c>
      <c r="D7">
        <v>1</v>
      </c>
      <c r="E7" t="s">
        <v>19</v>
      </c>
      <c r="F7" t="s">
        <v>42</v>
      </c>
      <c r="G7" t="s">
        <v>21</v>
      </c>
      <c r="H7" t="s">
        <v>22</v>
      </c>
      <c r="I7" t="s">
        <v>43</v>
      </c>
      <c r="J7" t="s">
        <v>43</v>
      </c>
      <c r="L7">
        <v>0</v>
      </c>
    </row>
    <row r="8" spans="1:17" x14ac:dyDescent="0.2">
      <c r="A8" t="s">
        <v>17</v>
      </c>
      <c r="B8">
        <v>10403018</v>
      </c>
      <c r="C8" t="s">
        <v>44</v>
      </c>
      <c r="D8">
        <v>0.25</v>
      </c>
      <c r="E8" t="s">
        <v>19</v>
      </c>
      <c r="F8" t="s">
        <v>38</v>
      </c>
      <c r="G8" t="s">
        <v>21</v>
      </c>
      <c r="H8" t="s">
        <v>22</v>
      </c>
      <c r="I8" t="s">
        <v>292</v>
      </c>
      <c r="J8" t="s">
        <v>93</v>
      </c>
      <c r="L8">
        <v>0</v>
      </c>
    </row>
    <row r="9" spans="1:17" x14ac:dyDescent="0.2">
      <c r="A9" t="s">
        <v>17</v>
      </c>
      <c r="B9">
        <v>10403009</v>
      </c>
      <c r="C9" t="s">
        <v>47</v>
      </c>
      <c r="D9">
        <v>1E-4</v>
      </c>
      <c r="E9" t="s">
        <v>30</v>
      </c>
      <c r="F9" t="s">
        <v>48</v>
      </c>
      <c r="G9" t="s">
        <v>21</v>
      </c>
      <c r="H9" t="s">
        <v>22</v>
      </c>
      <c r="I9" t="s">
        <v>387</v>
      </c>
      <c r="J9" t="s">
        <v>388</v>
      </c>
      <c r="L9">
        <v>0</v>
      </c>
    </row>
    <row r="10" spans="1:17" x14ac:dyDescent="0.2">
      <c r="A10" t="s">
        <v>17</v>
      </c>
      <c r="B10">
        <v>10310039</v>
      </c>
      <c r="C10" t="s">
        <v>51</v>
      </c>
      <c r="D10">
        <v>1</v>
      </c>
      <c r="E10" t="s">
        <v>19</v>
      </c>
      <c r="F10" t="s">
        <v>52</v>
      </c>
      <c r="G10" t="s">
        <v>21</v>
      </c>
      <c r="H10" t="s">
        <v>22</v>
      </c>
      <c r="I10" t="s">
        <v>53</v>
      </c>
      <c r="J10" t="s">
        <v>53</v>
      </c>
      <c r="L10">
        <v>0</v>
      </c>
    </row>
    <row r="11" spans="1:17" x14ac:dyDescent="0.2">
      <c r="A11" t="s">
        <v>17</v>
      </c>
      <c r="B11">
        <v>10310001</v>
      </c>
      <c r="C11" t="s">
        <v>54</v>
      </c>
      <c r="D11">
        <v>1</v>
      </c>
      <c r="E11" t="s">
        <v>19</v>
      </c>
      <c r="G11" t="s">
        <v>21</v>
      </c>
      <c r="H11" t="s">
        <v>22</v>
      </c>
      <c r="I11" t="s">
        <v>56</v>
      </c>
      <c r="J11" t="s">
        <v>56</v>
      </c>
      <c r="L11">
        <v>0</v>
      </c>
    </row>
    <row r="12" spans="1:17" x14ac:dyDescent="0.2">
      <c r="A12" t="s">
        <v>17</v>
      </c>
      <c r="B12">
        <v>10308590</v>
      </c>
      <c r="C12" t="s">
        <v>57</v>
      </c>
      <c r="D12">
        <v>1</v>
      </c>
      <c r="E12" t="s">
        <v>19</v>
      </c>
      <c r="F12" t="s">
        <v>38</v>
      </c>
      <c r="G12" t="s">
        <v>21</v>
      </c>
      <c r="H12" t="s">
        <v>22</v>
      </c>
      <c r="I12" t="s">
        <v>189</v>
      </c>
      <c r="J12" t="s">
        <v>189</v>
      </c>
      <c r="L12">
        <v>0</v>
      </c>
    </row>
    <row r="13" spans="1:17" x14ac:dyDescent="0.2">
      <c r="A13" t="s">
        <v>17</v>
      </c>
      <c r="B13">
        <v>10308589</v>
      </c>
      <c r="C13" t="s">
        <v>59</v>
      </c>
      <c r="D13">
        <v>1</v>
      </c>
      <c r="E13" t="s">
        <v>19</v>
      </c>
      <c r="F13" t="s">
        <v>38</v>
      </c>
      <c r="G13" t="s">
        <v>21</v>
      </c>
      <c r="H13" t="s">
        <v>22</v>
      </c>
      <c r="I13" t="s">
        <v>60</v>
      </c>
      <c r="J13" t="s">
        <v>60</v>
      </c>
      <c r="L13">
        <v>0</v>
      </c>
    </row>
    <row r="14" spans="1:17" x14ac:dyDescent="0.2">
      <c r="A14" t="s">
        <v>17</v>
      </c>
      <c r="B14">
        <v>10308588</v>
      </c>
      <c r="C14" t="s">
        <v>61</v>
      </c>
      <c r="D14">
        <v>8.3299999999999999E-2</v>
      </c>
      <c r="E14" t="s">
        <v>19</v>
      </c>
      <c r="F14" t="s">
        <v>38</v>
      </c>
      <c r="G14" t="s">
        <v>21</v>
      </c>
      <c r="H14" t="s">
        <v>22</v>
      </c>
      <c r="I14" t="s">
        <v>358</v>
      </c>
      <c r="J14" t="s">
        <v>359</v>
      </c>
      <c r="L14">
        <v>0</v>
      </c>
    </row>
    <row r="15" spans="1:17" x14ac:dyDescent="0.2">
      <c r="A15" t="s">
        <v>17</v>
      </c>
      <c r="B15">
        <v>10307261</v>
      </c>
      <c r="C15" t="s">
        <v>64</v>
      </c>
      <c r="D15">
        <v>11</v>
      </c>
      <c r="E15" t="s">
        <v>19</v>
      </c>
      <c r="F15" t="s">
        <v>65</v>
      </c>
      <c r="G15" t="s">
        <v>21</v>
      </c>
      <c r="H15" t="s">
        <v>22</v>
      </c>
      <c r="I15" t="s">
        <v>66</v>
      </c>
      <c r="J15" t="s">
        <v>67</v>
      </c>
      <c r="L15">
        <v>0</v>
      </c>
    </row>
    <row r="16" spans="1:17" x14ac:dyDescent="0.2">
      <c r="A16" t="s">
        <v>17</v>
      </c>
      <c r="B16">
        <v>10306887</v>
      </c>
      <c r="C16" t="s">
        <v>68</v>
      </c>
      <c r="D16">
        <v>1</v>
      </c>
      <c r="E16" t="s">
        <v>19</v>
      </c>
      <c r="F16" t="s">
        <v>69</v>
      </c>
      <c r="G16" t="s">
        <v>21</v>
      </c>
      <c r="H16" t="s">
        <v>22</v>
      </c>
      <c r="I16" t="s">
        <v>70</v>
      </c>
      <c r="J16" t="s">
        <v>70</v>
      </c>
      <c r="L16">
        <v>0</v>
      </c>
    </row>
    <row r="17" spans="1:12" x14ac:dyDescent="0.2">
      <c r="A17" t="s">
        <v>17</v>
      </c>
      <c r="B17">
        <v>10306708</v>
      </c>
      <c r="C17" t="s">
        <v>71</v>
      </c>
      <c r="D17">
        <v>1</v>
      </c>
      <c r="E17" t="s">
        <v>72</v>
      </c>
      <c r="F17" t="s">
        <v>282</v>
      </c>
      <c r="G17" t="s">
        <v>21</v>
      </c>
      <c r="H17" t="s">
        <v>22</v>
      </c>
      <c r="I17" t="s">
        <v>73</v>
      </c>
      <c r="J17" t="s">
        <v>73</v>
      </c>
      <c r="L17">
        <v>0</v>
      </c>
    </row>
    <row r="18" spans="1:12" x14ac:dyDescent="0.2">
      <c r="A18" t="s">
        <v>17</v>
      </c>
      <c r="B18">
        <v>10306626</v>
      </c>
      <c r="C18" t="s">
        <v>75</v>
      </c>
      <c r="D18">
        <v>1</v>
      </c>
      <c r="E18" t="s">
        <v>19</v>
      </c>
      <c r="F18" t="s">
        <v>76</v>
      </c>
      <c r="G18" t="s">
        <v>21</v>
      </c>
      <c r="H18" t="s">
        <v>22</v>
      </c>
      <c r="I18" t="s">
        <v>77</v>
      </c>
      <c r="J18" t="s">
        <v>77</v>
      </c>
      <c r="L18">
        <v>0</v>
      </c>
    </row>
    <row r="19" spans="1:12" x14ac:dyDescent="0.2">
      <c r="A19" t="s">
        <v>17</v>
      </c>
      <c r="B19">
        <v>10306419</v>
      </c>
      <c r="C19" t="s">
        <v>78</v>
      </c>
      <c r="D19">
        <v>1</v>
      </c>
      <c r="E19" t="s">
        <v>19</v>
      </c>
      <c r="F19" t="s">
        <v>79</v>
      </c>
      <c r="G19" t="s">
        <v>21</v>
      </c>
      <c r="H19" t="s">
        <v>22</v>
      </c>
      <c r="I19" t="s">
        <v>268</v>
      </c>
      <c r="J19" t="s">
        <v>268</v>
      </c>
      <c r="L19">
        <v>0</v>
      </c>
    </row>
    <row r="20" spans="1:12" x14ac:dyDescent="0.2">
      <c r="A20" t="s">
        <v>17</v>
      </c>
      <c r="B20">
        <v>10306416</v>
      </c>
      <c r="C20" t="s">
        <v>81</v>
      </c>
      <c r="D20">
        <v>2</v>
      </c>
      <c r="E20" t="s">
        <v>19</v>
      </c>
      <c r="G20" t="s">
        <v>21</v>
      </c>
      <c r="H20" t="s">
        <v>22</v>
      </c>
      <c r="I20" t="s">
        <v>141</v>
      </c>
      <c r="J20" t="s">
        <v>389</v>
      </c>
      <c r="L20">
        <v>0</v>
      </c>
    </row>
    <row r="21" spans="1:12" x14ac:dyDescent="0.2">
      <c r="A21" t="s">
        <v>17</v>
      </c>
      <c r="B21">
        <v>10306354</v>
      </c>
      <c r="C21" t="s">
        <v>84</v>
      </c>
      <c r="D21">
        <v>1</v>
      </c>
      <c r="E21" t="s">
        <v>19</v>
      </c>
      <c r="F21" t="s">
        <v>38</v>
      </c>
      <c r="G21" t="s">
        <v>21</v>
      </c>
      <c r="H21" t="s">
        <v>22</v>
      </c>
      <c r="I21" t="s">
        <v>362</v>
      </c>
      <c r="J21" t="s">
        <v>362</v>
      </c>
      <c r="L21">
        <v>0</v>
      </c>
    </row>
    <row r="22" spans="1:12" x14ac:dyDescent="0.2">
      <c r="A22" t="s">
        <v>17</v>
      </c>
      <c r="B22">
        <v>10306285</v>
      </c>
      <c r="C22" t="s">
        <v>85</v>
      </c>
      <c r="D22">
        <v>1</v>
      </c>
      <c r="E22" t="s">
        <v>19</v>
      </c>
      <c r="F22" t="s">
        <v>86</v>
      </c>
      <c r="G22" t="s">
        <v>21</v>
      </c>
      <c r="H22" t="s">
        <v>22</v>
      </c>
      <c r="I22" t="s">
        <v>80</v>
      </c>
      <c r="J22" t="s">
        <v>80</v>
      </c>
      <c r="L22">
        <v>0</v>
      </c>
    </row>
    <row r="23" spans="1:12" x14ac:dyDescent="0.2">
      <c r="A23" t="s">
        <v>17</v>
      </c>
      <c r="B23">
        <v>10304118</v>
      </c>
      <c r="C23" t="s">
        <v>88</v>
      </c>
      <c r="D23">
        <v>1</v>
      </c>
      <c r="E23" t="s">
        <v>19</v>
      </c>
      <c r="G23" t="s">
        <v>21</v>
      </c>
      <c r="H23" t="s">
        <v>22</v>
      </c>
      <c r="I23" t="s">
        <v>90</v>
      </c>
      <c r="J23" t="s">
        <v>90</v>
      </c>
      <c r="L23">
        <v>0</v>
      </c>
    </row>
    <row r="24" spans="1:12" x14ac:dyDescent="0.2">
      <c r="A24" t="s">
        <v>17</v>
      </c>
      <c r="B24">
        <v>10303283</v>
      </c>
      <c r="C24" t="s">
        <v>91</v>
      </c>
      <c r="D24">
        <v>1</v>
      </c>
      <c r="E24" t="s">
        <v>19</v>
      </c>
      <c r="F24" t="s">
        <v>92</v>
      </c>
      <c r="G24" t="s">
        <v>21</v>
      </c>
      <c r="H24" t="s">
        <v>22</v>
      </c>
      <c r="I24" t="s">
        <v>93</v>
      </c>
      <c r="J24" t="s">
        <v>93</v>
      </c>
      <c r="L24">
        <v>0</v>
      </c>
    </row>
    <row r="25" spans="1:12" x14ac:dyDescent="0.2">
      <c r="A25" t="s">
        <v>17</v>
      </c>
      <c r="B25">
        <v>10302735</v>
      </c>
      <c r="C25" t="s">
        <v>94</v>
      </c>
      <c r="D25">
        <v>1</v>
      </c>
      <c r="E25" t="s">
        <v>19</v>
      </c>
      <c r="F25" t="s">
        <v>95</v>
      </c>
      <c r="G25" t="s">
        <v>21</v>
      </c>
      <c r="H25" t="s">
        <v>22</v>
      </c>
      <c r="I25" t="s">
        <v>87</v>
      </c>
      <c r="J25" t="s">
        <v>87</v>
      </c>
      <c r="L25">
        <v>0</v>
      </c>
    </row>
    <row r="26" spans="1:12" x14ac:dyDescent="0.2">
      <c r="A26" t="s">
        <v>17</v>
      </c>
      <c r="B26">
        <v>10302449</v>
      </c>
      <c r="C26" t="s">
        <v>96</v>
      </c>
      <c r="D26">
        <v>4</v>
      </c>
      <c r="E26" t="s">
        <v>19</v>
      </c>
      <c r="F26" t="s">
        <v>97</v>
      </c>
      <c r="G26" t="s">
        <v>21</v>
      </c>
      <c r="H26" t="s">
        <v>22</v>
      </c>
      <c r="I26" t="s">
        <v>360</v>
      </c>
      <c r="J26" t="s">
        <v>361</v>
      </c>
      <c r="L26">
        <v>0</v>
      </c>
    </row>
    <row r="27" spans="1:12" x14ac:dyDescent="0.2">
      <c r="A27" t="s">
        <v>17</v>
      </c>
      <c r="B27">
        <v>10302349</v>
      </c>
      <c r="C27" t="s">
        <v>99</v>
      </c>
      <c r="D27">
        <v>1</v>
      </c>
      <c r="E27" t="s">
        <v>19</v>
      </c>
      <c r="F27" t="s">
        <v>100</v>
      </c>
      <c r="G27" t="s">
        <v>21</v>
      </c>
      <c r="H27" t="s">
        <v>22</v>
      </c>
      <c r="I27" t="s">
        <v>101</v>
      </c>
      <c r="J27" t="s">
        <v>101</v>
      </c>
      <c r="L27">
        <v>0</v>
      </c>
    </row>
    <row r="28" spans="1:12" x14ac:dyDescent="0.2">
      <c r="A28" t="s">
        <v>17</v>
      </c>
      <c r="B28">
        <v>10302319</v>
      </c>
      <c r="C28" t="s">
        <v>102</v>
      </c>
      <c r="D28">
        <v>1</v>
      </c>
      <c r="E28" t="s">
        <v>19</v>
      </c>
      <c r="F28" t="s">
        <v>103</v>
      </c>
      <c r="G28" t="s">
        <v>21</v>
      </c>
      <c r="H28" t="s">
        <v>22</v>
      </c>
      <c r="I28" t="s">
        <v>280</v>
      </c>
      <c r="J28" t="s">
        <v>280</v>
      </c>
      <c r="L28">
        <v>0</v>
      </c>
    </row>
    <row r="29" spans="1:12" x14ac:dyDescent="0.2">
      <c r="A29" t="s">
        <v>17</v>
      </c>
      <c r="B29">
        <v>10403235</v>
      </c>
      <c r="C29" t="s">
        <v>29</v>
      </c>
      <c r="D29">
        <v>8.8000000000000003E-4</v>
      </c>
      <c r="E29" t="s">
        <v>30</v>
      </c>
      <c r="G29" t="s">
        <v>21</v>
      </c>
      <c r="H29" t="s">
        <v>183</v>
      </c>
      <c r="L29">
        <v>0</v>
      </c>
    </row>
    <row r="30" spans="1:12" x14ac:dyDescent="0.2">
      <c r="A30" t="s">
        <v>17</v>
      </c>
      <c r="H30" t="s">
        <v>22</v>
      </c>
      <c r="L30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0D956-F98C-E049-98FC-B77369407689}">
  <dimension ref="A2:Q33"/>
  <sheetViews>
    <sheetView workbookViewId="0">
      <selection sqref="A1:Q29"/>
    </sheetView>
  </sheetViews>
  <sheetFormatPr baseColWidth="10" defaultRowHeight="16" x14ac:dyDescent="0.2"/>
  <sheetData>
    <row r="2" spans="1:1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</row>
    <row r="3" spans="1:17" x14ac:dyDescent="0.2">
      <c r="A3" t="s">
        <v>17</v>
      </c>
      <c r="B3">
        <v>20503169</v>
      </c>
      <c r="C3" t="s">
        <v>313</v>
      </c>
      <c r="D3">
        <v>1</v>
      </c>
      <c r="E3" t="s">
        <v>19</v>
      </c>
      <c r="G3" t="s">
        <v>185</v>
      </c>
      <c r="H3" t="s">
        <v>22</v>
      </c>
      <c r="I3" t="s">
        <v>314</v>
      </c>
      <c r="J3" t="s">
        <v>314</v>
      </c>
      <c r="L3">
        <v>0</v>
      </c>
    </row>
    <row r="4" spans="1:17" x14ac:dyDescent="0.2">
      <c r="A4" t="s">
        <v>17</v>
      </c>
      <c r="B4">
        <v>10202057</v>
      </c>
      <c r="C4" t="s">
        <v>187</v>
      </c>
      <c r="D4">
        <v>2</v>
      </c>
      <c r="E4" t="s">
        <v>19</v>
      </c>
      <c r="F4" t="s">
        <v>188</v>
      </c>
      <c r="G4" t="s">
        <v>185</v>
      </c>
      <c r="H4" t="s">
        <v>22</v>
      </c>
      <c r="I4" t="s">
        <v>189</v>
      </c>
      <c r="J4" t="s">
        <v>190</v>
      </c>
      <c r="L4">
        <v>0</v>
      </c>
      <c r="Q4" t="s">
        <v>390</v>
      </c>
    </row>
    <row r="5" spans="1:17" x14ac:dyDescent="0.2">
      <c r="A5" t="s">
        <v>17</v>
      </c>
      <c r="B5">
        <v>10203013</v>
      </c>
      <c r="C5" t="s">
        <v>191</v>
      </c>
      <c r="D5">
        <v>1</v>
      </c>
      <c r="E5" t="s">
        <v>19</v>
      </c>
      <c r="F5" t="s">
        <v>192</v>
      </c>
      <c r="G5" t="s">
        <v>185</v>
      </c>
      <c r="H5" t="s">
        <v>22</v>
      </c>
      <c r="I5" t="s">
        <v>391</v>
      </c>
      <c r="J5" t="s">
        <v>391</v>
      </c>
      <c r="L5">
        <v>0</v>
      </c>
      <c r="Q5" t="s">
        <v>348</v>
      </c>
    </row>
    <row r="6" spans="1:17" x14ac:dyDescent="0.2">
      <c r="A6" t="s">
        <v>17</v>
      </c>
      <c r="B6">
        <v>10203014</v>
      </c>
      <c r="C6" t="s">
        <v>194</v>
      </c>
      <c r="D6">
        <v>1</v>
      </c>
      <c r="E6" t="s">
        <v>19</v>
      </c>
      <c r="F6" t="s">
        <v>195</v>
      </c>
      <c r="G6" t="s">
        <v>185</v>
      </c>
      <c r="H6" t="s">
        <v>22</v>
      </c>
      <c r="I6" t="s">
        <v>368</v>
      </c>
      <c r="J6" t="s">
        <v>368</v>
      </c>
      <c r="L6">
        <v>0</v>
      </c>
      <c r="Q6" t="s">
        <v>346</v>
      </c>
    </row>
    <row r="7" spans="1:17" x14ac:dyDescent="0.2">
      <c r="A7" t="s">
        <v>17</v>
      </c>
      <c r="B7">
        <v>10203012</v>
      </c>
      <c r="C7" t="s">
        <v>197</v>
      </c>
      <c r="D7">
        <v>1</v>
      </c>
      <c r="E7" t="s">
        <v>19</v>
      </c>
      <c r="F7" t="s">
        <v>198</v>
      </c>
      <c r="G7" t="s">
        <v>185</v>
      </c>
      <c r="H7" t="s">
        <v>22</v>
      </c>
      <c r="I7" t="s">
        <v>392</v>
      </c>
      <c r="J7" t="s">
        <v>392</v>
      </c>
      <c r="L7">
        <v>0</v>
      </c>
      <c r="Q7" t="s">
        <v>345</v>
      </c>
    </row>
    <row r="8" spans="1:17" x14ac:dyDescent="0.2">
      <c r="A8" t="s">
        <v>17</v>
      </c>
      <c r="B8">
        <v>10203016</v>
      </c>
      <c r="C8" t="s">
        <v>199</v>
      </c>
      <c r="D8">
        <v>1</v>
      </c>
      <c r="E8" t="s">
        <v>19</v>
      </c>
      <c r="F8" t="s">
        <v>200</v>
      </c>
      <c r="G8" t="s">
        <v>185</v>
      </c>
      <c r="H8" t="s">
        <v>22</v>
      </c>
      <c r="I8" t="s">
        <v>391</v>
      </c>
      <c r="J8" t="s">
        <v>391</v>
      </c>
      <c r="L8">
        <v>0</v>
      </c>
      <c r="Q8" t="s">
        <v>345</v>
      </c>
    </row>
    <row r="9" spans="1:17" x14ac:dyDescent="0.2">
      <c r="A9" t="s">
        <v>17</v>
      </c>
      <c r="B9">
        <v>10203005</v>
      </c>
      <c r="C9" t="s">
        <v>202</v>
      </c>
      <c r="D9">
        <v>1</v>
      </c>
      <c r="E9" t="s">
        <v>19</v>
      </c>
      <c r="F9" t="s">
        <v>203</v>
      </c>
      <c r="G9" t="s">
        <v>185</v>
      </c>
      <c r="H9" t="s">
        <v>22</v>
      </c>
      <c r="I9" t="s">
        <v>393</v>
      </c>
      <c r="J9" t="s">
        <v>393</v>
      </c>
      <c r="L9">
        <v>0</v>
      </c>
      <c r="Q9" t="s">
        <v>343</v>
      </c>
    </row>
    <row r="10" spans="1:17" x14ac:dyDescent="0.2">
      <c r="A10" t="s">
        <v>17</v>
      </c>
      <c r="B10">
        <v>10203128</v>
      </c>
      <c r="C10" t="s">
        <v>204</v>
      </c>
      <c r="D10">
        <v>1</v>
      </c>
      <c r="E10" t="s">
        <v>19</v>
      </c>
      <c r="F10" t="s">
        <v>205</v>
      </c>
      <c r="G10" t="s">
        <v>185</v>
      </c>
      <c r="H10" t="s">
        <v>22</v>
      </c>
      <c r="I10" t="s">
        <v>224</v>
      </c>
      <c r="J10" t="s">
        <v>224</v>
      </c>
      <c r="L10">
        <v>0</v>
      </c>
      <c r="Q10" t="s">
        <v>343</v>
      </c>
    </row>
    <row r="11" spans="1:17" x14ac:dyDescent="0.2">
      <c r="A11" t="s">
        <v>17</v>
      </c>
      <c r="B11">
        <v>10203039</v>
      </c>
      <c r="C11" t="s">
        <v>207</v>
      </c>
      <c r="D11">
        <v>1</v>
      </c>
      <c r="E11" t="s">
        <v>19</v>
      </c>
      <c r="F11" t="s">
        <v>208</v>
      </c>
      <c r="G11" t="s">
        <v>185</v>
      </c>
      <c r="H11" t="s">
        <v>22</v>
      </c>
      <c r="I11" t="s">
        <v>394</v>
      </c>
      <c r="J11" t="s">
        <v>394</v>
      </c>
      <c r="L11">
        <v>0</v>
      </c>
      <c r="Q11" t="s">
        <v>343</v>
      </c>
    </row>
    <row r="12" spans="1:17" x14ac:dyDescent="0.2">
      <c r="A12" t="s">
        <v>17</v>
      </c>
      <c r="B12">
        <v>10206016</v>
      </c>
      <c r="C12" t="s">
        <v>210</v>
      </c>
      <c r="D12">
        <v>1</v>
      </c>
      <c r="E12" t="s">
        <v>19</v>
      </c>
      <c r="F12" t="s">
        <v>211</v>
      </c>
      <c r="G12" t="s">
        <v>185</v>
      </c>
      <c r="H12" t="s">
        <v>22</v>
      </c>
      <c r="I12" t="s">
        <v>339</v>
      </c>
      <c r="J12" t="s">
        <v>339</v>
      </c>
      <c r="L12">
        <v>0</v>
      </c>
      <c r="Q12" t="s">
        <v>338</v>
      </c>
    </row>
    <row r="13" spans="1:17" x14ac:dyDescent="0.2">
      <c r="A13" t="s">
        <v>17</v>
      </c>
      <c r="B13">
        <v>10206018</v>
      </c>
      <c r="C13" t="s">
        <v>213</v>
      </c>
      <c r="D13">
        <v>1</v>
      </c>
      <c r="E13" t="s">
        <v>19</v>
      </c>
      <c r="F13" t="s">
        <v>214</v>
      </c>
      <c r="G13" t="s">
        <v>185</v>
      </c>
      <c r="H13" t="s">
        <v>22</v>
      </c>
      <c r="I13" t="s">
        <v>93</v>
      </c>
      <c r="J13" t="s">
        <v>93</v>
      </c>
      <c r="L13">
        <v>0</v>
      </c>
      <c r="Q13" t="s">
        <v>338</v>
      </c>
    </row>
    <row r="14" spans="1:17" x14ac:dyDescent="0.2">
      <c r="A14" t="s">
        <v>17</v>
      </c>
      <c r="B14">
        <v>10206002</v>
      </c>
      <c r="C14" t="s">
        <v>215</v>
      </c>
      <c r="D14">
        <v>2</v>
      </c>
      <c r="E14" t="s">
        <v>19</v>
      </c>
      <c r="F14" t="s">
        <v>216</v>
      </c>
      <c r="G14" t="s">
        <v>185</v>
      </c>
      <c r="H14" t="s">
        <v>22</v>
      </c>
      <c r="I14" t="s">
        <v>217</v>
      </c>
      <c r="J14" t="s">
        <v>218</v>
      </c>
      <c r="L14">
        <v>0</v>
      </c>
      <c r="Q14" t="s">
        <v>338</v>
      </c>
    </row>
    <row r="15" spans="1:17" x14ac:dyDescent="0.2">
      <c r="A15" t="s">
        <v>17</v>
      </c>
      <c r="B15">
        <v>10204057</v>
      </c>
      <c r="C15" t="s">
        <v>219</v>
      </c>
      <c r="D15">
        <v>1</v>
      </c>
      <c r="E15" t="s">
        <v>19</v>
      </c>
      <c r="F15" t="s">
        <v>220</v>
      </c>
      <c r="G15" t="s">
        <v>185</v>
      </c>
      <c r="H15" t="s">
        <v>22</v>
      </c>
      <c r="I15" t="s">
        <v>382</v>
      </c>
      <c r="J15" t="s">
        <v>382</v>
      </c>
      <c r="L15">
        <v>0</v>
      </c>
      <c r="Q15" t="s">
        <v>342</v>
      </c>
    </row>
    <row r="16" spans="1:17" x14ac:dyDescent="0.2">
      <c r="A16" t="s">
        <v>17</v>
      </c>
      <c r="B16">
        <v>10207058</v>
      </c>
      <c r="C16" t="s">
        <v>222</v>
      </c>
      <c r="D16">
        <v>1</v>
      </c>
      <c r="E16" t="s">
        <v>19</v>
      </c>
      <c r="F16" t="s">
        <v>223</v>
      </c>
      <c r="G16" t="s">
        <v>185</v>
      </c>
      <c r="H16" t="s">
        <v>22</v>
      </c>
      <c r="I16" t="s">
        <v>395</v>
      </c>
      <c r="J16" t="s">
        <v>395</v>
      </c>
      <c r="L16">
        <v>0</v>
      </c>
      <c r="Q16" t="s">
        <v>337</v>
      </c>
    </row>
    <row r="17" spans="1:17" x14ac:dyDescent="0.2">
      <c r="A17" t="s">
        <v>17</v>
      </c>
      <c r="B17">
        <v>10207108</v>
      </c>
      <c r="C17" t="s">
        <v>225</v>
      </c>
      <c r="D17">
        <v>1</v>
      </c>
      <c r="E17" t="s">
        <v>19</v>
      </c>
      <c r="F17" t="s">
        <v>226</v>
      </c>
      <c r="G17" t="s">
        <v>185</v>
      </c>
      <c r="H17" t="s">
        <v>22</v>
      </c>
      <c r="I17" t="s">
        <v>227</v>
      </c>
      <c r="J17" t="s">
        <v>227</v>
      </c>
      <c r="L17">
        <v>0</v>
      </c>
      <c r="Q17" t="s">
        <v>335</v>
      </c>
    </row>
    <row r="18" spans="1:17" x14ac:dyDescent="0.2">
      <c r="A18" t="s">
        <v>17</v>
      </c>
      <c r="B18">
        <v>10301566</v>
      </c>
      <c r="C18" t="s">
        <v>228</v>
      </c>
      <c r="D18">
        <v>0.35</v>
      </c>
      <c r="E18" t="s">
        <v>72</v>
      </c>
      <c r="F18" t="s">
        <v>229</v>
      </c>
      <c r="G18" t="s">
        <v>185</v>
      </c>
      <c r="H18" t="s">
        <v>22</v>
      </c>
      <c r="I18" t="s">
        <v>396</v>
      </c>
      <c r="J18" t="s">
        <v>397</v>
      </c>
      <c r="L18">
        <v>0</v>
      </c>
    </row>
    <row r="19" spans="1:17" x14ac:dyDescent="0.2">
      <c r="A19" t="s">
        <v>17</v>
      </c>
      <c r="B19">
        <v>10301455</v>
      </c>
      <c r="C19" t="s">
        <v>231</v>
      </c>
      <c r="D19">
        <v>0.2</v>
      </c>
      <c r="E19" t="s">
        <v>72</v>
      </c>
      <c r="F19" t="s">
        <v>232</v>
      </c>
      <c r="G19" t="s">
        <v>185</v>
      </c>
      <c r="H19" t="s">
        <v>22</v>
      </c>
      <c r="I19" t="s">
        <v>398</v>
      </c>
      <c r="J19" t="s">
        <v>399</v>
      </c>
      <c r="L19">
        <v>0</v>
      </c>
      <c r="Q19" t="s">
        <v>332</v>
      </c>
    </row>
    <row r="20" spans="1:17" x14ac:dyDescent="0.2">
      <c r="A20" t="s">
        <v>17</v>
      </c>
      <c r="B20">
        <v>10303995</v>
      </c>
      <c r="C20" t="s">
        <v>235</v>
      </c>
      <c r="D20">
        <v>1</v>
      </c>
      <c r="E20" t="s">
        <v>19</v>
      </c>
      <c r="G20" t="s">
        <v>185</v>
      </c>
      <c r="H20" t="s">
        <v>22</v>
      </c>
      <c r="I20" t="s">
        <v>400</v>
      </c>
      <c r="J20" t="s">
        <v>400</v>
      </c>
      <c r="L20">
        <v>0</v>
      </c>
    </row>
    <row r="21" spans="1:17" x14ac:dyDescent="0.2">
      <c r="A21" t="s">
        <v>17</v>
      </c>
      <c r="B21">
        <v>10310039</v>
      </c>
      <c r="C21" t="s">
        <v>51</v>
      </c>
      <c r="D21">
        <v>1</v>
      </c>
      <c r="E21" t="s">
        <v>19</v>
      </c>
      <c r="G21" t="s">
        <v>185</v>
      </c>
      <c r="H21" t="s">
        <v>22</v>
      </c>
      <c r="I21" t="s">
        <v>53</v>
      </c>
      <c r="J21" t="s">
        <v>53</v>
      </c>
      <c r="L21">
        <v>0</v>
      </c>
    </row>
    <row r="22" spans="1:17" x14ac:dyDescent="0.2">
      <c r="A22" t="s">
        <v>17</v>
      </c>
      <c r="B22">
        <v>10403230</v>
      </c>
      <c r="C22" t="s">
        <v>237</v>
      </c>
      <c r="D22">
        <v>6.5000000000000002E-2</v>
      </c>
      <c r="E22" t="s">
        <v>30</v>
      </c>
      <c r="G22" t="s">
        <v>185</v>
      </c>
      <c r="H22" t="s">
        <v>22</v>
      </c>
      <c r="I22" t="s">
        <v>238</v>
      </c>
      <c r="J22" t="s">
        <v>239</v>
      </c>
      <c r="L22">
        <v>0</v>
      </c>
      <c r="Q22" t="s">
        <v>319</v>
      </c>
    </row>
    <row r="23" spans="1:17" x14ac:dyDescent="0.2">
      <c r="A23" t="s">
        <v>17</v>
      </c>
      <c r="B23">
        <v>10403231</v>
      </c>
      <c r="C23" t="s">
        <v>240</v>
      </c>
      <c r="D23">
        <v>6.5000000000000002E-2</v>
      </c>
      <c r="E23" t="s">
        <v>30</v>
      </c>
      <c r="G23" t="s">
        <v>185</v>
      </c>
      <c r="H23" t="s">
        <v>22</v>
      </c>
      <c r="I23" t="s">
        <v>238</v>
      </c>
      <c r="J23" t="s">
        <v>239</v>
      </c>
      <c r="L23">
        <v>0</v>
      </c>
      <c r="Q23" t="s">
        <v>319</v>
      </c>
    </row>
    <row r="24" spans="1:17" x14ac:dyDescent="0.2">
      <c r="A24" t="s">
        <v>17</v>
      </c>
      <c r="B24">
        <v>10403009</v>
      </c>
      <c r="C24" t="s">
        <v>47</v>
      </c>
      <c r="D24">
        <v>1.5E-3</v>
      </c>
      <c r="E24" t="s">
        <v>30</v>
      </c>
      <c r="G24" t="s">
        <v>185</v>
      </c>
      <c r="H24" t="s">
        <v>22</v>
      </c>
      <c r="I24" t="s">
        <v>387</v>
      </c>
      <c r="J24" t="s">
        <v>401</v>
      </c>
      <c r="L24">
        <v>0</v>
      </c>
      <c r="Q24" t="s">
        <v>301</v>
      </c>
    </row>
    <row r="25" spans="1:17" x14ac:dyDescent="0.2">
      <c r="A25" t="s">
        <v>17</v>
      </c>
      <c r="B25">
        <v>10403012</v>
      </c>
      <c r="C25" t="s">
        <v>245</v>
      </c>
      <c r="D25">
        <v>1E-3</v>
      </c>
      <c r="E25" t="s">
        <v>246</v>
      </c>
      <c r="G25" t="s">
        <v>185</v>
      </c>
      <c r="H25" t="s">
        <v>22</v>
      </c>
      <c r="I25" t="s">
        <v>247</v>
      </c>
      <c r="J25" t="s">
        <v>248</v>
      </c>
      <c r="L25">
        <v>0</v>
      </c>
      <c r="Q25" t="s">
        <v>301</v>
      </c>
    </row>
    <row r="26" spans="1:17" x14ac:dyDescent="0.2">
      <c r="A26" t="s">
        <v>17</v>
      </c>
      <c r="B26">
        <v>10403030</v>
      </c>
      <c r="C26" t="s">
        <v>249</v>
      </c>
      <c r="D26">
        <v>1E-3</v>
      </c>
      <c r="E26" t="s">
        <v>246</v>
      </c>
      <c r="G26" t="s">
        <v>185</v>
      </c>
      <c r="H26" t="s">
        <v>22</v>
      </c>
      <c r="I26" t="s">
        <v>250</v>
      </c>
      <c r="J26" t="s">
        <v>251</v>
      </c>
      <c r="L26">
        <v>0</v>
      </c>
      <c r="Q26" t="s">
        <v>321</v>
      </c>
    </row>
    <row r="27" spans="1:17" x14ac:dyDescent="0.2">
      <c r="A27" t="s">
        <v>17</v>
      </c>
      <c r="B27">
        <v>10307241</v>
      </c>
      <c r="C27" t="s">
        <v>252</v>
      </c>
      <c r="D27">
        <v>1</v>
      </c>
      <c r="E27" t="s">
        <v>19</v>
      </c>
      <c r="F27" t="s">
        <v>220</v>
      </c>
      <c r="G27" t="s">
        <v>185</v>
      </c>
      <c r="H27" t="s">
        <v>22</v>
      </c>
      <c r="I27" t="s">
        <v>212</v>
      </c>
      <c r="J27" t="s">
        <v>212</v>
      </c>
      <c r="L27">
        <v>0</v>
      </c>
    </row>
    <row r="28" spans="1:17" x14ac:dyDescent="0.2">
      <c r="A28" t="s">
        <v>17</v>
      </c>
      <c r="B28">
        <v>10302145</v>
      </c>
      <c r="C28" t="s">
        <v>253</v>
      </c>
      <c r="D28">
        <v>1</v>
      </c>
      <c r="E28" t="s">
        <v>19</v>
      </c>
      <c r="G28" t="s">
        <v>185</v>
      </c>
      <c r="H28" t="s">
        <v>22</v>
      </c>
      <c r="I28" t="s">
        <v>254</v>
      </c>
      <c r="J28" t="s">
        <v>254</v>
      </c>
      <c r="L28">
        <v>0</v>
      </c>
    </row>
    <row r="29" spans="1:17" x14ac:dyDescent="0.2">
      <c r="A29" t="s">
        <v>17</v>
      </c>
      <c r="B29">
        <v>10403032</v>
      </c>
      <c r="C29" t="s">
        <v>255</v>
      </c>
      <c r="D29">
        <v>1E-3</v>
      </c>
      <c r="E29" t="s">
        <v>30</v>
      </c>
      <c r="G29" t="s">
        <v>185</v>
      </c>
      <c r="H29" t="s">
        <v>22</v>
      </c>
      <c r="I29" t="s">
        <v>256</v>
      </c>
      <c r="J29" t="s">
        <v>257</v>
      </c>
      <c r="L29">
        <v>0</v>
      </c>
    </row>
    <row r="30" spans="1:17" x14ac:dyDescent="0.2">
      <c r="A30" t="s">
        <v>17</v>
      </c>
      <c r="B30">
        <v>10301165</v>
      </c>
      <c r="C30" t="s">
        <v>258</v>
      </c>
      <c r="D30">
        <v>1</v>
      </c>
      <c r="E30" t="s">
        <v>19</v>
      </c>
      <c r="G30" t="s">
        <v>185</v>
      </c>
      <c r="H30" t="s">
        <v>22</v>
      </c>
      <c r="I30" t="s">
        <v>402</v>
      </c>
      <c r="J30" t="s">
        <v>402</v>
      </c>
      <c r="L30">
        <v>0</v>
      </c>
    </row>
    <row r="31" spans="1:17" x14ac:dyDescent="0.2">
      <c r="A31" t="s">
        <v>17</v>
      </c>
      <c r="B31">
        <v>10306419</v>
      </c>
      <c r="C31" t="s">
        <v>78</v>
      </c>
      <c r="D31">
        <v>1</v>
      </c>
      <c r="E31" t="s">
        <v>19</v>
      </c>
      <c r="G31" t="s">
        <v>185</v>
      </c>
      <c r="H31" t="s">
        <v>22</v>
      </c>
      <c r="I31" t="s">
        <v>77</v>
      </c>
      <c r="J31" t="s">
        <v>77</v>
      </c>
      <c r="L31">
        <v>0</v>
      </c>
    </row>
    <row r="32" spans="1:17" x14ac:dyDescent="0.2">
      <c r="A32" t="s">
        <v>17</v>
      </c>
      <c r="B32">
        <v>10403049</v>
      </c>
      <c r="C32" t="s">
        <v>241</v>
      </c>
      <c r="D32">
        <v>1.09E-3</v>
      </c>
      <c r="E32" t="s">
        <v>30</v>
      </c>
      <c r="G32" t="s">
        <v>185</v>
      </c>
      <c r="H32" t="s">
        <v>183</v>
      </c>
      <c r="L32">
        <v>0</v>
      </c>
    </row>
    <row r="33" spans="1:12" x14ac:dyDescent="0.2">
      <c r="A33" t="s">
        <v>17</v>
      </c>
      <c r="H33" t="s">
        <v>22</v>
      </c>
      <c r="L33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0F5C0-BB1C-764D-88AA-A8D758FE2D69}">
  <dimension ref="A1:Q30"/>
  <sheetViews>
    <sheetView workbookViewId="0">
      <selection sqref="A1:R31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20603168</v>
      </c>
      <c r="C2" t="s">
        <v>403</v>
      </c>
      <c r="D2">
        <v>1</v>
      </c>
      <c r="E2" t="s">
        <v>19</v>
      </c>
      <c r="G2" t="s">
        <v>21</v>
      </c>
      <c r="H2" t="s">
        <v>22</v>
      </c>
      <c r="I2" t="s">
        <v>404</v>
      </c>
      <c r="J2" t="s">
        <v>404</v>
      </c>
      <c r="L2">
        <v>0</v>
      </c>
    </row>
    <row r="3" spans="1:17" x14ac:dyDescent="0.2">
      <c r="A3" t="s">
        <v>17</v>
      </c>
      <c r="B3">
        <v>20405402</v>
      </c>
      <c r="C3" t="s">
        <v>23</v>
      </c>
      <c r="D3">
        <v>1</v>
      </c>
      <c r="E3" t="s">
        <v>19</v>
      </c>
      <c r="G3" t="s">
        <v>21</v>
      </c>
      <c r="H3" t="s">
        <v>22</v>
      </c>
      <c r="I3" t="s">
        <v>405</v>
      </c>
      <c r="J3" t="s">
        <v>405</v>
      </c>
      <c r="L3">
        <v>0</v>
      </c>
    </row>
    <row r="4" spans="1:17" x14ac:dyDescent="0.2">
      <c r="A4" t="s">
        <v>17</v>
      </c>
      <c r="B4">
        <v>20203354</v>
      </c>
      <c r="C4" t="s">
        <v>26</v>
      </c>
      <c r="D4">
        <v>1</v>
      </c>
      <c r="E4" t="s">
        <v>19</v>
      </c>
      <c r="G4" t="s">
        <v>21</v>
      </c>
      <c r="H4" t="s">
        <v>22</v>
      </c>
      <c r="I4" t="s">
        <v>386</v>
      </c>
      <c r="J4" t="s">
        <v>386</v>
      </c>
      <c r="L4">
        <v>0</v>
      </c>
    </row>
    <row r="5" spans="1:17" x14ac:dyDescent="0.2">
      <c r="A5" t="s">
        <v>17</v>
      </c>
      <c r="B5">
        <v>10403235</v>
      </c>
      <c r="C5" t="s">
        <v>29</v>
      </c>
      <c r="D5">
        <v>1E-3</v>
      </c>
      <c r="E5" t="s">
        <v>30</v>
      </c>
      <c r="F5" t="s">
        <v>31</v>
      </c>
      <c r="G5" t="s">
        <v>21</v>
      </c>
      <c r="H5" t="s">
        <v>22</v>
      </c>
      <c r="I5" t="s">
        <v>406</v>
      </c>
      <c r="J5" t="s">
        <v>407</v>
      </c>
      <c r="L5">
        <v>0</v>
      </c>
    </row>
    <row r="6" spans="1:17" x14ac:dyDescent="0.2">
      <c r="A6" t="s">
        <v>17</v>
      </c>
      <c r="B6">
        <v>10403110</v>
      </c>
      <c r="C6" t="s">
        <v>34</v>
      </c>
      <c r="D6">
        <v>1</v>
      </c>
      <c r="E6" t="s">
        <v>19</v>
      </c>
      <c r="F6" t="s">
        <v>35</v>
      </c>
      <c r="G6" t="s">
        <v>21</v>
      </c>
      <c r="H6" t="s">
        <v>22</v>
      </c>
      <c r="I6" t="s">
        <v>124</v>
      </c>
      <c r="J6" t="s">
        <v>124</v>
      </c>
      <c r="L6">
        <v>0</v>
      </c>
    </row>
    <row r="7" spans="1:17" x14ac:dyDescent="0.2">
      <c r="A7" t="s">
        <v>17</v>
      </c>
      <c r="B7">
        <v>10403086</v>
      </c>
      <c r="C7" t="s">
        <v>37</v>
      </c>
      <c r="D7">
        <v>2.1999999999999999E-2</v>
      </c>
      <c r="E7" t="s">
        <v>19</v>
      </c>
      <c r="F7" t="s">
        <v>38</v>
      </c>
      <c r="G7" t="s">
        <v>21</v>
      </c>
      <c r="H7" t="s">
        <v>22</v>
      </c>
      <c r="I7" t="s">
        <v>39</v>
      </c>
      <c r="J7" t="s">
        <v>40</v>
      </c>
      <c r="L7">
        <v>0</v>
      </c>
    </row>
    <row r="8" spans="1:17" x14ac:dyDescent="0.2">
      <c r="A8" t="s">
        <v>17</v>
      </c>
      <c r="B8">
        <v>10403075</v>
      </c>
      <c r="C8" t="s">
        <v>41</v>
      </c>
      <c r="D8">
        <v>1</v>
      </c>
      <c r="E8" t="s">
        <v>19</v>
      </c>
      <c r="F8" t="s">
        <v>42</v>
      </c>
      <c r="G8" t="s">
        <v>21</v>
      </c>
      <c r="H8" t="s">
        <v>22</v>
      </c>
      <c r="I8" t="s">
        <v>43</v>
      </c>
      <c r="J8" t="s">
        <v>43</v>
      </c>
      <c r="L8">
        <v>0</v>
      </c>
    </row>
    <row r="9" spans="1:17" x14ac:dyDescent="0.2">
      <c r="A9" t="s">
        <v>17</v>
      </c>
      <c r="B9">
        <v>10403018</v>
      </c>
      <c r="C9" t="s">
        <v>44</v>
      </c>
      <c r="D9">
        <v>0.25</v>
      </c>
      <c r="E9" t="s">
        <v>19</v>
      </c>
      <c r="F9" t="s">
        <v>38</v>
      </c>
      <c r="G9" t="s">
        <v>21</v>
      </c>
      <c r="H9" t="s">
        <v>22</v>
      </c>
      <c r="I9" t="s">
        <v>292</v>
      </c>
      <c r="J9" t="s">
        <v>93</v>
      </c>
      <c r="L9">
        <v>0</v>
      </c>
    </row>
    <row r="10" spans="1:17" x14ac:dyDescent="0.2">
      <c r="A10" t="s">
        <v>17</v>
      </c>
      <c r="B10">
        <v>10403009</v>
      </c>
      <c r="C10" t="s">
        <v>47</v>
      </c>
      <c r="D10">
        <v>1E-4</v>
      </c>
      <c r="E10" t="s">
        <v>30</v>
      </c>
      <c r="F10" t="s">
        <v>48</v>
      </c>
      <c r="G10" t="s">
        <v>21</v>
      </c>
      <c r="H10" t="s">
        <v>22</v>
      </c>
      <c r="I10" t="s">
        <v>387</v>
      </c>
      <c r="J10" t="s">
        <v>388</v>
      </c>
      <c r="L10">
        <v>0</v>
      </c>
    </row>
    <row r="11" spans="1:17" x14ac:dyDescent="0.2">
      <c r="A11" t="s">
        <v>17</v>
      </c>
      <c r="B11">
        <v>10310039</v>
      </c>
      <c r="C11" t="s">
        <v>51</v>
      </c>
      <c r="D11">
        <v>1</v>
      </c>
      <c r="E11" t="s">
        <v>19</v>
      </c>
      <c r="F11" t="s">
        <v>52</v>
      </c>
      <c r="G11" t="s">
        <v>21</v>
      </c>
      <c r="H11" t="s">
        <v>22</v>
      </c>
      <c r="I11" t="s">
        <v>53</v>
      </c>
      <c r="J11" t="s">
        <v>53</v>
      </c>
      <c r="L11">
        <v>0</v>
      </c>
    </row>
    <row r="12" spans="1:17" x14ac:dyDescent="0.2">
      <c r="A12" t="s">
        <v>17</v>
      </c>
      <c r="B12">
        <v>10310001</v>
      </c>
      <c r="C12" t="s">
        <v>54</v>
      </c>
      <c r="D12">
        <v>1</v>
      </c>
      <c r="E12" t="s">
        <v>19</v>
      </c>
      <c r="G12" t="s">
        <v>21</v>
      </c>
      <c r="H12" t="s">
        <v>22</v>
      </c>
      <c r="I12" t="s">
        <v>56</v>
      </c>
      <c r="J12" t="s">
        <v>56</v>
      </c>
      <c r="L12">
        <v>0</v>
      </c>
    </row>
    <row r="13" spans="1:17" x14ac:dyDescent="0.2">
      <c r="A13" t="s">
        <v>17</v>
      </c>
      <c r="B13">
        <v>10308590</v>
      </c>
      <c r="C13" t="s">
        <v>57</v>
      </c>
      <c r="D13">
        <v>1</v>
      </c>
      <c r="E13" t="s">
        <v>19</v>
      </c>
      <c r="F13" t="s">
        <v>38</v>
      </c>
      <c r="G13" t="s">
        <v>21</v>
      </c>
      <c r="H13" t="s">
        <v>22</v>
      </c>
      <c r="I13" t="s">
        <v>189</v>
      </c>
      <c r="J13" t="s">
        <v>189</v>
      </c>
      <c r="L13">
        <v>0</v>
      </c>
    </row>
    <row r="14" spans="1:17" x14ac:dyDescent="0.2">
      <c r="A14" t="s">
        <v>17</v>
      </c>
      <c r="B14">
        <v>10308589</v>
      </c>
      <c r="C14" t="s">
        <v>59</v>
      </c>
      <c r="D14">
        <v>1</v>
      </c>
      <c r="E14" t="s">
        <v>19</v>
      </c>
      <c r="F14" t="s">
        <v>38</v>
      </c>
      <c r="G14" t="s">
        <v>21</v>
      </c>
      <c r="H14" t="s">
        <v>22</v>
      </c>
      <c r="I14" t="s">
        <v>60</v>
      </c>
      <c r="J14" t="s">
        <v>60</v>
      </c>
      <c r="L14">
        <v>0</v>
      </c>
    </row>
    <row r="15" spans="1:17" x14ac:dyDescent="0.2">
      <c r="A15" t="s">
        <v>17</v>
      </c>
      <c r="B15">
        <v>10308588</v>
      </c>
      <c r="C15" t="s">
        <v>61</v>
      </c>
      <c r="D15">
        <v>8.3299999999999999E-2</v>
      </c>
      <c r="E15" t="s">
        <v>19</v>
      </c>
      <c r="F15" t="s">
        <v>38</v>
      </c>
      <c r="G15" t="s">
        <v>21</v>
      </c>
      <c r="H15" t="s">
        <v>22</v>
      </c>
      <c r="I15" t="s">
        <v>358</v>
      </c>
      <c r="J15" t="s">
        <v>359</v>
      </c>
      <c r="L15">
        <v>0</v>
      </c>
    </row>
    <row r="16" spans="1:17" x14ac:dyDescent="0.2">
      <c r="A16" t="s">
        <v>17</v>
      </c>
      <c r="B16">
        <v>10307261</v>
      </c>
      <c r="C16" t="s">
        <v>64</v>
      </c>
      <c r="D16">
        <v>11</v>
      </c>
      <c r="E16" t="s">
        <v>19</v>
      </c>
      <c r="F16" t="s">
        <v>65</v>
      </c>
      <c r="G16" t="s">
        <v>21</v>
      </c>
      <c r="H16" t="s">
        <v>22</v>
      </c>
      <c r="I16" t="s">
        <v>66</v>
      </c>
      <c r="J16" t="s">
        <v>67</v>
      </c>
      <c r="L16">
        <v>0</v>
      </c>
    </row>
    <row r="17" spans="1:12" x14ac:dyDescent="0.2">
      <c r="A17" t="s">
        <v>17</v>
      </c>
      <c r="B17">
        <v>10306887</v>
      </c>
      <c r="C17" t="s">
        <v>68</v>
      </c>
      <c r="D17">
        <v>1</v>
      </c>
      <c r="E17" t="s">
        <v>19</v>
      </c>
      <c r="F17" t="s">
        <v>69</v>
      </c>
      <c r="G17" t="s">
        <v>21</v>
      </c>
      <c r="H17" t="s">
        <v>22</v>
      </c>
      <c r="I17" t="s">
        <v>70</v>
      </c>
      <c r="J17" t="s">
        <v>70</v>
      </c>
      <c r="L17">
        <v>0</v>
      </c>
    </row>
    <row r="18" spans="1:12" x14ac:dyDescent="0.2">
      <c r="A18" t="s">
        <v>17</v>
      </c>
      <c r="B18">
        <v>10306708</v>
      </c>
      <c r="C18" t="s">
        <v>71</v>
      </c>
      <c r="D18">
        <v>1.5</v>
      </c>
      <c r="E18" t="s">
        <v>72</v>
      </c>
      <c r="G18" t="s">
        <v>21</v>
      </c>
      <c r="H18" t="s">
        <v>22</v>
      </c>
      <c r="I18" t="s">
        <v>73</v>
      </c>
      <c r="J18" t="s">
        <v>74</v>
      </c>
      <c r="L18">
        <v>0</v>
      </c>
    </row>
    <row r="19" spans="1:12" x14ac:dyDescent="0.2">
      <c r="A19" t="s">
        <v>17</v>
      </c>
      <c r="B19">
        <v>10306626</v>
      </c>
      <c r="C19" t="s">
        <v>75</v>
      </c>
      <c r="D19">
        <v>1</v>
      </c>
      <c r="E19" t="s">
        <v>19</v>
      </c>
      <c r="F19" t="s">
        <v>76</v>
      </c>
      <c r="G19" t="s">
        <v>21</v>
      </c>
      <c r="H19" t="s">
        <v>22</v>
      </c>
      <c r="I19" t="s">
        <v>77</v>
      </c>
      <c r="J19" t="s">
        <v>77</v>
      </c>
      <c r="L19">
        <v>0</v>
      </c>
    </row>
    <row r="20" spans="1:12" x14ac:dyDescent="0.2">
      <c r="A20" t="s">
        <v>17</v>
      </c>
      <c r="B20">
        <v>10306419</v>
      </c>
      <c r="C20" t="s">
        <v>78</v>
      </c>
      <c r="D20">
        <v>1</v>
      </c>
      <c r="E20" t="s">
        <v>19</v>
      </c>
      <c r="F20" t="s">
        <v>79</v>
      </c>
      <c r="G20" t="s">
        <v>21</v>
      </c>
      <c r="H20" t="s">
        <v>22</v>
      </c>
      <c r="I20" t="s">
        <v>268</v>
      </c>
      <c r="J20" t="s">
        <v>268</v>
      </c>
      <c r="L20">
        <v>0</v>
      </c>
    </row>
    <row r="21" spans="1:12" x14ac:dyDescent="0.2">
      <c r="A21" t="s">
        <v>17</v>
      </c>
      <c r="B21">
        <v>10306416</v>
      </c>
      <c r="C21" t="s">
        <v>81</v>
      </c>
      <c r="D21">
        <v>2</v>
      </c>
      <c r="E21" t="s">
        <v>19</v>
      </c>
      <c r="G21" t="s">
        <v>21</v>
      </c>
      <c r="H21" t="s">
        <v>22</v>
      </c>
      <c r="I21" t="s">
        <v>141</v>
      </c>
      <c r="J21" t="s">
        <v>389</v>
      </c>
      <c r="L21">
        <v>0</v>
      </c>
    </row>
    <row r="22" spans="1:12" x14ac:dyDescent="0.2">
      <c r="A22" t="s">
        <v>17</v>
      </c>
      <c r="B22">
        <v>10306354</v>
      </c>
      <c r="C22" t="s">
        <v>84</v>
      </c>
      <c r="D22">
        <v>1</v>
      </c>
      <c r="E22" t="s">
        <v>19</v>
      </c>
      <c r="F22" t="s">
        <v>38</v>
      </c>
      <c r="G22" t="s">
        <v>21</v>
      </c>
      <c r="H22" t="s">
        <v>22</v>
      </c>
      <c r="I22" t="s">
        <v>362</v>
      </c>
      <c r="J22" t="s">
        <v>362</v>
      </c>
      <c r="L22">
        <v>0</v>
      </c>
    </row>
    <row r="23" spans="1:12" x14ac:dyDescent="0.2">
      <c r="A23" t="s">
        <v>17</v>
      </c>
      <c r="B23">
        <v>10306285</v>
      </c>
      <c r="C23" t="s">
        <v>85</v>
      </c>
      <c r="D23">
        <v>1</v>
      </c>
      <c r="E23" t="s">
        <v>19</v>
      </c>
      <c r="F23" t="s">
        <v>86</v>
      </c>
      <c r="G23" t="s">
        <v>21</v>
      </c>
      <c r="H23" t="s">
        <v>22</v>
      </c>
      <c r="I23" t="s">
        <v>80</v>
      </c>
      <c r="J23" t="s">
        <v>80</v>
      </c>
      <c r="L23">
        <v>0</v>
      </c>
    </row>
    <row r="24" spans="1:12" x14ac:dyDescent="0.2">
      <c r="A24" t="s">
        <v>17</v>
      </c>
      <c r="B24">
        <v>10304118</v>
      </c>
      <c r="C24" t="s">
        <v>88</v>
      </c>
      <c r="D24">
        <v>1</v>
      </c>
      <c r="E24" t="s">
        <v>19</v>
      </c>
      <c r="G24" t="s">
        <v>21</v>
      </c>
      <c r="H24" t="s">
        <v>22</v>
      </c>
      <c r="I24" t="s">
        <v>90</v>
      </c>
      <c r="J24" t="s">
        <v>90</v>
      </c>
      <c r="L24">
        <v>0</v>
      </c>
    </row>
    <row r="25" spans="1:12" x14ac:dyDescent="0.2">
      <c r="A25" t="s">
        <v>17</v>
      </c>
      <c r="B25">
        <v>10303283</v>
      </c>
      <c r="C25" t="s">
        <v>91</v>
      </c>
      <c r="D25">
        <v>1</v>
      </c>
      <c r="E25" t="s">
        <v>19</v>
      </c>
      <c r="F25" t="s">
        <v>92</v>
      </c>
      <c r="G25" t="s">
        <v>21</v>
      </c>
      <c r="H25" t="s">
        <v>22</v>
      </c>
      <c r="I25" t="s">
        <v>93</v>
      </c>
      <c r="J25" t="s">
        <v>93</v>
      </c>
      <c r="L25">
        <v>0</v>
      </c>
    </row>
    <row r="26" spans="1:12" x14ac:dyDescent="0.2">
      <c r="A26" t="s">
        <v>17</v>
      </c>
      <c r="B26">
        <v>10302735</v>
      </c>
      <c r="C26" t="s">
        <v>94</v>
      </c>
      <c r="D26">
        <v>1</v>
      </c>
      <c r="E26" t="s">
        <v>19</v>
      </c>
      <c r="F26" t="s">
        <v>95</v>
      </c>
      <c r="G26" t="s">
        <v>21</v>
      </c>
      <c r="H26" t="s">
        <v>22</v>
      </c>
      <c r="I26" t="s">
        <v>87</v>
      </c>
      <c r="J26" t="s">
        <v>87</v>
      </c>
      <c r="L26">
        <v>0</v>
      </c>
    </row>
    <row r="27" spans="1:12" x14ac:dyDescent="0.2">
      <c r="A27" t="s">
        <v>17</v>
      </c>
      <c r="B27">
        <v>10302449</v>
      </c>
      <c r="C27" t="s">
        <v>96</v>
      </c>
      <c r="D27">
        <v>4</v>
      </c>
      <c r="E27" t="s">
        <v>19</v>
      </c>
      <c r="F27" t="s">
        <v>97</v>
      </c>
      <c r="G27" t="s">
        <v>21</v>
      </c>
      <c r="H27" t="s">
        <v>22</v>
      </c>
      <c r="I27" t="s">
        <v>360</v>
      </c>
      <c r="J27" t="s">
        <v>361</v>
      </c>
      <c r="L27">
        <v>0</v>
      </c>
    </row>
    <row r="28" spans="1:12" x14ac:dyDescent="0.2">
      <c r="A28" t="s">
        <v>17</v>
      </c>
      <c r="B28">
        <v>10302349</v>
      </c>
      <c r="C28" t="s">
        <v>99</v>
      </c>
      <c r="D28">
        <v>1</v>
      </c>
      <c r="E28" t="s">
        <v>19</v>
      </c>
      <c r="F28" t="s">
        <v>100</v>
      </c>
      <c r="G28" t="s">
        <v>21</v>
      </c>
      <c r="H28" t="s">
        <v>22</v>
      </c>
      <c r="I28" t="s">
        <v>101</v>
      </c>
      <c r="J28" t="s">
        <v>101</v>
      </c>
      <c r="L28">
        <v>0</v>
      </c>
    </row>
    <row r="29" spans="1:12" x14ac:dyDescent="0.2">
      <c r="A29" t="s">
        <v>17</v>
      </c>
      <c r="B29">
        <v>10302319</v>
      </c>
      <c r="C29" t="s">
        <v>102</v>
      </c>
      <c r="D29">
        <v>1</v>
      </c>
      <c r="E29" t="s">
        <v>19</v>
      </c>
      <c r="F29" t="s">
        <v>103</v>
      </c>
      <c r="G29" t="s">
        <v>21</v>
      </c>
      <c r="H29" t="s">
        <v>22</v>
      </c>
      <c r="I29" t="s">
        <v>280</v>
      </c>
      <c r="J29" t="s">
        <v>280</v>
      </c>
      <c r="L29">
        <v>0</v>
      </c>
    </row>
    <row r="30" spans="1:12" x14ac:dyDescent="0.2">
      <c r="A30" t="s">
        <v>17</v>
      </c>
      <c r="H30" t="s">
        <v>22</v>
      </c>
      <c r="L30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191B7-E31E-B54F-A0F3-01842D86D075}">
  <dimension ref="A3:Q34"/>
  <sheetViews>
    <sheetView tabSelected="1" workbookViewId="0">
      <selection sqref="A1:Q29"/>
    </sheetView>
  </sheetViews>
  <sheetFormatPr baseColWidth="10" defaultRowHeight="16" x14ac:dyDescent="0.2"/>
  <sheetData>
    <row r="3" spans="1:17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</row>
    <row r="4" spans="1:17" x14ac:dyDescent="0.2">
      <c r="A4" t="s">
        <v>17</v>
      </c>
      <c r="B4">
        <v>20503168</v>
      </c>
      <c r="C4" t="s">
        <v>184</v>
      </c>
      <c r="D4">
        <v>1</v>
      </c>
      <c r="E4" t="s">
        <v>19</v>
      </c>
      <c r="G4" t="s">
        <v>185</v>
      </c>
      <c r="H4" t="s">
        <v>22</v>
      </c>
      <c r="I4" t="s">
        <v>408</v>
      </c>
      <c r="J4" t="s">
        <v>408</v>
      </c>
      <c r="L4">
        <v>0</v>
      </c>
    </row>
    <row r="5" spans="1:17" x14ac:dyDescent="0.2">
      <c r="A5" t="s">
        <v>17</v>
      </c>
      <c r="B5">
        <v>10202057</v>
      </c>
      <c r="C5" t="s">
        <v>187</v>
      </c>
      <c r="D5">
        <v>2</v>
      </c>
      <c r="E5" t="s">
        <v>19</v>
      </c>
      <c r="F5" t="s">
        <v>188</v>
      </c>
      <c r="G5" t="s">
        <v>185</v>
      </c>
      <c r="H5" t="s">
        <v>22</v>
      </c>
      <c r="I5" t="s">
        <v>189</v>
      </c>
      <c r="J5" t="s">
        <v>190</v>
      </c>
      <c r="L5">
        <v>0</v>
      </c>
      <c r="Q5" t="s">
        <v>390</v>
      </c>
    </row>
    <row r="6" spans="1:17" x14ac:dyDescent="0.2">
      <c r="A6" t="s">
        <v>17</v>
      </c>
      <c r="B6">
        <v>10203013</v>
      </c>
      <c r="C6" t="s">
        <v>191</v>
      </c>
      <c r="D6">
        <v>1</v>
      </c>
      <c r="E6" t="s">
        <v>19</v>
      </c>
      <c r="F6" t="s">
        <v>192</v>
      </c>
      <c r="G6" t="s">
        <v>185</v>
      </c>
      <c r="H6" t="s">
        <v>22</v>
      </c>
      <c r="I6" t="s">
        <v>391</v>
      </c>
      <c r="J6" t="s">
        <v>391</v>
      </c>
      <c r="L6">
        <v>0</v>
      </c>
      <c r="Q6" t="s">
        <v>348</v>
      </c>
    </row>
    <row r="7" spans="1:17" x14ac:dyDescent="0.2">
      <c r="A7" t="s">
        <v>17</v>
      </c>
      <c r="B7">
        <v>10203014</v>
      </c>
      <c r="C7" t="s">
        <v>194</v>
      </c>
      <c r="D7">
        <v>1</v>
      </c>
      <c r="E7" t="s">
        <v>19</v>
      </c>
      <c r="F7" t="s">
        <v>195</v>
      </c>
      <c r="G7" t="s">
        <v>185</v>
      </c>
      <c r="H7" t="s">
        <v>22</v>
      </c>
      <c r="I7" t="s">
        <v>368</v>
      </c>
      <c r="J7" t="s">
        <v>368</v>
      </c>
      <c r="L7">
        <v>0</v>
      </c>
      <c r="Q7" t="s">
        <v>346</v>
      </c>
    </row>
    <row r="8" spans="1:17" x14ac:dyDescent="0.2">
      <c r="A8" t="s">
        <v>17</v>
      </c>
      <c r="B8">
        <v>10203012</v>
      </c>
      <c r="C8" t="s">
        <v>197</v>
      </c>
      <c r="D8">
        <v>1</v>
      </c>
      <c r="E8" t="s">
        <v>19</v>
      </c>
      <c r="F8" t="s">
        <v>198</v>
      </c>
      <c r="G8" t="s">
        <v>185</v>
      </c>
      <c r="H8" t="s">
        <v>22</v>
      </c>
      <c r="I8" t="s">
        <v>392</v>
      </c>
      <c r="J8" t="s">
        <v>392</v>
      </c>
      <c r="L8">
        <v>0</v>
      </c>
      <c r="Q8" t="s">
        <v>345</v>
      </c>
    </row>
    <row r="9" spans="1:17" x14ac:dyDescent="0.2">
      <c r="A9" t="s">
        <v>17</v>
      </c>
      <c r="B9">
        <v>10203016</v>
      </c>
      <c r="C9" t="s">
        <v>199</v>
      </c>
      <c r="D9">
        <v>1</v>
      </c>
      <c r="E9" t="s">
        <v>19</v>
      </c>
      <c r="F9" t="s">
        <v>200</v>
      </c>
      <c r="G9" t="s">
        <v>185</v>
      </c>
      <c r="H9" t="s">
        <v>22</v>
      </c>
      <c r="I9" t="s">
        <v>391</v>
      </c>
      <c r="J9" t="s">
        <v>391</v>
      </c>
      <c r="L9">
        <v>0</v>
      </c>
      <c r="Q9" t="s">
        <v>345</v>
      </c>
    </row>
    <row r="10" spans="1:17" x14ac:dyDescent="0.2">
      <c r="A10" t="s">
        <v>17</v>
      </c>
      <c r="B10">
        <v>10203005</v>
      </c>
      <c r="C10" t="s">
        <v>202</v>
      </c>
      <c r="D10">
        <v>1</v>
      </c>
      <c r="E10" t="s">
        <v>19</v>
      </c>
      <c r="F10" t="s">
        <v>203</v>
      </c>
      <c r="G10" t="s">
        <v>185</v>
      </c>
      <c r="H10" t="s">
        <v>22</v>
      </c>
      <c r="I10" t="s">
        <v>393</v>
      </c>
      <c r="J10" t="s">
        <v>393</v>
      </c>
      <c r="L10">
        <v>0</v>
      </c>
      <c r="Q10" t="s">
        <v>343</v>
      </c>
    </row>
    <row r="11" spans="1:17" x14ac:dyDescent="0.2">
      <c r="A11" t="s">
        <v>17</v>
      </c>
      <c r="B11">
        <v>10203128</v>
      </c>
      <c r="C11" t="s">
        <v>204</v>
      </c>
      <c r="D11">
        <v>1</v>
      </c>
      <c r="E11" t="s">
        <v>19</v>
      </c>
      <c r="F11" t="s">
        <v>205</v>
      </c>
      <c r="G11" t="s">
        <v>185</v>
      </c>
      <c r="H11" t="s">
        <v>22</v>
      </c>
      <c r="I11" t="s">
        <v>224</v>
      </c>
      <c r="J11" t="s">
        <v>224</v>
      </c>
      <c r="L11">
        <v>0</v>
      </c>
      <c r="Q11" t="s">
        <v>343</v>
      </c>
    </row>
    <row r="12" spans="1:17" x14ac:dyDescent="0.2">
      <c r="A12" t="s">
        <v>17</v>
      </c>
      <c r="B12">
        <v>10203039</v>
      </c>
      <c r="C12" t="s">
        <v>207</v>
      </c>
      <c r="D12">
        <v>1</v>
      </c>
      <c r="E12" t="s">
        <v>19</v>
      </c>
      <c r="F12" t="s">
        <v>208</v>
      </c>
      <c r="G12" t="s">
        <v>185</v>
      </c>
      <c r="H12" t="s">
        <v>22</v>
      </c>
      <c r="I12" t="s">
        <v>394</v>
      </c>
      <c r="J12" t="s">
        <v>394</v>
      </c>
      <c r="L12">
        <v>0</v>
      </c>
      <c r="Q12" t="s">
        <v>343</v>
      </c>
    </row>
    <row r="13" spans="1:17" x14ac:dyDescent="0.2">
      <c r="A13" t="s">
        <v>17</v>
      </c>
      <c r="B13">
        <v>10206016</v>
      </c>
      <c r="C13" t="s">
        <v>210</v>
      </c>
      <c r="D13">
        <v>1</v>
      </c>
      <c r="E13" t="s">
        <v>19</v>
      </c>
      <c r="F13" t="s">
        <v>211</v>
      </c>
      <c r="G13" t="s">
        <v>185</v>
      </c>
      <c r="H13" t="s">
        <v>22</v>
      </c>
      <c r="I13" t="s">
        <v>339</v>
      </c>
      <c r="J13" t="s">
        <v>339</v>
      </c>
      <c r="L13">
        <v>0</v>
      </c>
      <c r="Q13" t="s">
        <v>338</v>
      </c>
    </row>
    <row r="14" spans="1:17" x14ac:dyDescent="0.2">
      <c r="A14" t="s">
        <v>17</v>
      </c>
      <c r="B14">
        <v>10206018</v>
      </c>
      <c r="C14" t="s">
        <v>213</v>
      </c>
      <c r="D14">
        <v>1</v>
      </c>
      <c r="E14" t="s">
        <v>19</v>
      </c>
      <c r="F14" t="s">
        <v>214</v>
      </c>
      <c r="G14" t="s">
        <v>185</v>
      </c>
      <c r="H14" t="s">
        <v>22</v>
      </c>
      <c r="I14" t="s">
        <v>93</v>
      </c>
      <c r="J14" t="s">
        <v>93</v>
      </c>
      <c r="L14">
        <v>0</v>
      </c>
      <c r="Q14" t="s">
        <v>338</v>
      </c>
    </row>
    <row r="15" spans="1:17" x14ac:dyDescent="0.2">
      <c r="A15" t="s">
        <v>17</v>
      </c>
      <c r="B15">
        <v>10206002</v>
      </c>
      <c r="C15" t="s">
        <v>215</v>
      </c>
      <c r="D15">
        <v>2</v>
      </c>
      <c r="E15" t="s">
        <v>19</v>
      </c>
      <c r="F15" t="s">
        <v>216</v>
      </c>
      <c r="G15" t="s">
        <v>185</v>
      </c>
      <c r="H15" t="s">
        <v>22</v>
      </c>
      <c r="I15" t="s">
        <v>217</v>
      </c>
      <c r="J15" t="s">
        <v>218</v>
      </c>
      <c r="L15">
        <v>0</v>
      </c>
      <c r="Q15" t="s">
        <v>338</v>
      </c>
    </row>
    <row r="16" spans="1:17" x14ac:dyDescent="0.2">
      <c r="A16" t="s">
        <v>17</v>
      </c>
      <c r="B16">
        <v>10204057</v>
      </c>
      <c r="C16" t="s">
        <v>219</v>
      </c>
      <c r="D16">
        <v>1</v>
      </c>
      <c r="E16" t="s">
        <v>19</v>
      </c>
      <c r="F16" t="s">
        <v>220</v>
      </c>
      <c r="G16" t="s">
        <v>185</v>
      </c>
      <c r="H16" t="s">
        <v>22</v>
      </c>
      <c r="I16" t="s">
        <v>382</v>
      </c>
      <c r="J16" t="s">
        <v>382</v>
      </c>
      <c r="L16">
        <v>0</v>
      </c>
      <c r="Q16" t="s">
        <v>342</v>
      </c>
    </row>
    <row r="17" spans="1:17" x14ac:dyDescent="0.2">
      <c r="A17" t="s">
        <v>17</v>
      </c>
      <c r="B17">
        <v>10207058</v>
      </c>
      <c r="C17" t="s">
        <v>222</v>
      </c>
      <c r="D17">
        <v>1</v>
      </c>
      <c r="E17" t="s">
        <v>19</v>
      </c>
      <c r="F17" t="s">
        <v>223</v>
      </c>
      <c r="G17" t="s">
        <v>185</v>
      </c>
      <c r="H17" t="s">
        <v>22</v>
      </c>
      <c r="I17" t="s">
        <v>395</v>
      </c>
      <c r="J17" t="s">
        <v>395</v>
      </c>
      <c r="L17">
        <v>0</v>
      </c>
      <c r="Q17" t="s">
        <v>337</v>
      </c>
    </row>
    <row r="18" spans="1:17" x14ac:dyDescent="0.2">
      <c r="A18" t="s">
        <v>17</v>
      </c>
      <c r="B18">
        <v>10207108</v>
      </c>
      <c r="C18" t="s">
        <v>225</v>
      </c>
      <c r="D18">
        <v>1</v>
      </c>
      <c r="E18" t="s">
        <v>19</v>
      </c>
      <c r="F18" t="s">
        <v>226</v>
      </c>
      <c r="G18" t="s">
        <v>185</v>
      </c>
      <c r="H18" t="s">
        <v>22</v>
      </c>
      <c r="I18" t="s">
        <v>227</v>
      </c>
      <c r="J18" t="s">
        <v>227</v>
      </c>
      <c r="L18">
        <v>0</v>
      </c>
      <c r="Q18" t="s">
        <v>335</v>
      </c>
    </row>
    <row r="19" spans="1:17" x14ac:dyDescent="0.2">
      <c r="A19" t="s">
        <v>17</v>
      </c>
      <c r="B19">
        <v>10301566</v>
      </c>
      <c r="C19" t="s">
        <v>228</v>
      </c>
      <c r="D19">
        <v>0.35</v>
      </c>
      <c r="E19" t="s">
        <v>72</v>
      </c>
      <c r="F19" t="s">
        <v>229</v>
      </c>
      <c r="G19" t="s">
        <v>185</v>
      </c>
      <c r="H19" t="s">
        <v>22</v>
      </c>
      <c r="I19" t="s">
        <v>396</v>
      </c>
      <c r="J19" t="s">
        <v>397</v>
      </c>
      <c r="L19">
        <v>0</v>
      </c>
    </row>
    <row r="20" spans="1:17" x14ac:dyDescent="0.2">
      <c r="A20" t="s">
        <v>17</v>
      </c>
      <c r="B20">
        <v>10301455</v>
      </c>
      <c r="C20" t="s">
        <v>231</v>
      </c>
      <c r="D20">
        <v>0.2</v>
      </c>
      <c r="E20" t="s">
        <v>72</v>
      </c>
      <c r="F20" t="s">
        <v>232</v>
      </c>
      <c r="G20" t="s">
        <v>185</v>
      </c>
      <c r="H20" t="s">
        <v>22</v>
      </c>
      <c r="I20" t="s">
        <v>398</v>
      </c>
      <c r="J20" t="s">
        <v>399</v>
      </c>
      <c r="L20">
        <v>0</v>
      </c>
      <c r="Q20" t="s">
        <v>332</v>
      </c>
    </row>
    <row r="21" spans="1:17" x14ac:dyDescent="0.2">
      <c r="A21" t="s">
        <v>17</v>
      </c>
      <c r="B21">
        <v>10303995</v>
      </c>
      <c r="C21" t="s">
        <v>235</v>
      </c>
      <c r="D21">
        <v>1</v>
      </c>
      <c r="E21" t="s">
        <v>19</v>
      </c>
      <c r="G21" t="s">
        <v>185</v>
      </c>
      <c r="H21" t="s">
        <v>22</v>
      </c>
      <c r="I21" t="s">
        <v>400</v>
      </c>
      <c r="J21" t="s">
        <v>400</v>
      </c>
      <c r="L21">
        <v>0</v>
      </c>
    </row>
    <row r="22" spans="1:17" x14ac:dyDescent="0.2">
      <c r="A22" t="s">
        <v>17</v>
      </c>
      <c r="B22">
        <v>10310039</v>
      </c>
      <c r="C22" t="s">
        <v>51</v>
      </c>
      <c r="D22">
        <v>1</v>
      </c>
      <c r="E22" t="s">
        <v>19</v>
      </c>
      <c r="G22" t="s">
        <v>185</v>
      </c>
      <c r="H22" t="s">
        <v>22</v>
      </c>
      <c r="I22" t="s">
        <v>53</v>
      </c>
      <c r="J22" t="s">
        <v>53</v>
      </c>
      <c r="L22">
        <v>0</v>
      </c>
    </row>
    <row r="23" spans="1:17" x14ac:dyDescent="0.2">
      <c r="A23" t="s">
        <v>17</v>
      </c>
      <c r="B23">
        <v>10403230</v>
      </c>
      <c r="C23" t="s">
        <v>237</v>
      </c>
      <c r="D23">
        <v>6.5000000000000002E-2</v>
      </c>
      <c r="E23" t="s">
        <v>30</v>
      </c>
      <c r="G23" t="s">
        <v>185</v>
      </c>
      <c r="H23" t="s">
        <v>22</v>
      </c>
      <c r="I23" t="s">
        <v>238</v>
      </c>
      <c r="J23" t="s">
        <v>239</v>
      </c>
      <c r="L23">
        <v>0</v>
      </c>
      <c r="Q23" t="s">
        <v>319</v>
      </c>
    </row>
    <row r="24" spans="1:17" x14ac:dyDescent="0.2">
      <c r="A24" t="s">
        <v>17</v>
      </c>
      <c r="B24">
        <v>10403231</v>
      </c>
      <c r="C24" t="s">
        <v>240</v>
      </c>
      <c r="D24">
        <v>6.5000000000000002E-2</v>
      </c>
      <c r="E24" t="s">
        <v>30</v>
      </c>
      <c r="G24" t="s">
        <v>185</v>
      </c>
      <c r="H24" t="s">
        <v>22</v>
      </c>
      <c r="I24" t="s">
        <v>238</v>
      </c>
      <c r="J24" t="s">
        <v>239</v>
      </c>
      <c r="L24">
        <v>0</v>
      </c>
      <c r="Q24" t="s">
        <v>319</v>
      </c>
    </row>
    <row r="25" spans="1:17" x14ac:dyDescent="0.2">
      <c r="A25" t="s">
        <v>17</v>
      </c>
      <c r="B25">
        <v>10403009</v>
      </c>
      <c r="C25" t="s">
        <v>47</v>
      </c>
      <c r="D25">
        <v>1.5E-3</v>
      </c>
      <c r="E25" t="s">
        <v>30</v>
      </c>
      <c r="G25" t="s">
        <v>185</v>
      </c>
      <c r="H25" t="s">
        <v>22</v>
      </c>
      <c r="I25" t="s">
        <v>387</v>
      </c>
      <c r="J25" t="s">
        <v>401</v>
      </c>
      <c r="L25">
        <v>0</v>
      </c>
      <c r="Q25" t="s">
        <v>301</v>
      </c>
    </row>
    <row r="26" spans="1:17" x14ac:dyDescent="0.2">
      <c r="A26" t="s">
        <v>17</v>
      </c>
      <c r="B26">
        <v>10403012</v>
      </c>
      <c r="C26" t="s">
        <v>245</v>
      </c>
      <c r="D26">
        <v>1E-3</v>
      </c>
      <c r="E26" t="s">
        <v>246</v>
      </c>
      <c r="G26" t="s">
        <v>185</v>
      </c>
      <c r="H26" t="s">
        <v>22</v>
      </c>
      <c r="I26" t="s">
        <v>247</v>
      </c>
      <c r="J26" t="s">
        <v>248</v>
      </c>
      <c r="L26">
        <v>0</v>
      </c>
      <c r="Q26" t="s">
        <v>301</v>
      </c>
    </row>
    <row r="27" spans="1:17" x14ac:dyDescent="0.2">
      <c r="A27" t="s">
        <v>17</v>
      </c>
      <c r="B27">
        <v>10403030</v>
      </c>
      <c r="C27" t="s">
        <v>249</v>
      </c>
      <c r="D27">
        <v>1E-3</v>
      </c>
      <c r="E27" t="s">
        <v>246</v>
      </c>
      <c r="G27" t="s">
        <v>185</v>
      </c>
      <c r="H27" t="s">
        <v>22</v>
      </c>
      <c r="I27" t="s">
        <v>250</v>
      </c>
      <c r="J27" t="s">
        <v>251</v>
      </c>
      <c r="L27">
        <v>0</v>
      </c>
      <c r="Q27" t="s">
        <v>321</v>
      </c>
    </row>
    <row r="28" spans="1:17" x14ac:dyDescent="0.2">
      <c r="A28" t="s">
        <v>17</v>
      </c>
      <c r="B28">
        <v>10307241</v>
      </c>
      <c r="C28" t="s">
        <v>252</v>
      </c>
      <c r="D28">
        <v>1</v>
      </c>
      <c r="E28" t="s">
        <v>19</v>
      </c>
      <c r="F28" t="s">
        <v>220</v>
      </c>
      <c r="G28" t="s">
        <v>185</v>
      </c>
      <c r="H28" t="s">
        <v>22</v>
      </c>
      <c r="I28" t="s">
        <v>212</v>
      </c>
      <c r="J28" t="s">
        <v>212</v>
      </c>
      <c r="L28">
        <v>0</v>
      </c>
    </row>
    <row r="29" spans="1:17" x14ac:dyDescent="0.2">
      <c r="A29" t="s">
        <v>17</v>
      </c>
      <c r="B29">
        <v>10302145</v>
      </c>
      <c r="C29" t="s">
        <v>253</v>
      </c>
      <c r="D29">
        <v>1</v>
      </c>
      <c r="E29" t="s">
        <v>19</v>
      </c>
      <c r="G29" t="s">
        <v>185</v>
      </c>
      <c r="H29" t="s">
        <v>22</v>
      </c>
      <c r="I29" t="s">
        <v>254</v>
      </c>
      <c r="J29" t="s">
        <v>254</v>
      </c>
      <c r="L29">
        <v>0</v>
      </c>
    </row>
    <row r="30" spans="1:17" x14ac:dyDescent="0.2">
      <c r="A30" t="s">
        <v>17</v>
      </c>
      <c r="B30">
        <v>10403032</v>
      </c>
      <c r="C30" t="s">
        <v>255</v>
      </c>
      <c r="D30">
        <v>1E-3</v>
      </c>
      <c r="E30" t="s">
        <v>30</v>
      </c>
      <c r="G30" t="s">
        <v>185</v>
      </c>
      <c r="H30" t="s">
        <v>22</v>
      </c>
      <c r="I30" t="s">
        <v>256</v>
      </c>
      <c r="J30" t="s">
        <v>257</v>
      </c>
      <c r="L30">
        <v>0</v>
      </c>
    </row>
    <row r="31" spans="1:17" x14ac:dyDescent="0.2">
      <c r="A31" t="s">
        <v>17</v>
      </c>
      <c r="B31">
        <v>10306419</v>
      </c>
      <c r="C31" t="s">
        <v>78</v>
      </c>
      <c r="D31">
        <v>1</v>
      </c>
      <c r="E31" t="s">
        <v>19</v>
      </c>
      <c r="G31" t="s">
        <v>185</v>
      </c>
      <c r="H31" t="s">
        <v>22</v>
      </c>
      <c r="I31" t="s">
        <v>77</v>
      </c>
      <c r="J31" t="s">
        <v>77</v>
      </c>
      <c r="L31">
        <v>0</v>
      </c>
    </row>
    <row r="32" spans="1:17" x14ac:dyDescent="0.2">
      <c r="A32" t="s">
        <v>17</v>
      </c>
      <c r="B32">
        <v>10301165</v>
      </c>
      <c r="C32" t="s">
        <v>258</v>
      </c>
      <c r="D32">
        <v>1</v>
      </c>
      <c r="E32" t="s">
        <v>19</v>
      </c>
      <c r="G32" t="s">
        <v>185</v>
      </c>
      <c r="H32" t="s">
        <v>22</v>
      </c>
      <c r="I32" t="s">
        <v>402</v>
      </c>
      <c r="J32" t="s">
        <v>402</v>
      </c>
      <c r="L32">
        <v>0</v>
      </c>
    </row>
    <row r="33" spans="1:12" x14ac:dyDescent="0.2">
      <c r="A33" t="s">
        <v>17</v>
      </c>
      <c r="B33">
        <v>10403049</v>
      </c>
      <c r="C33" t="s">
        <v>241</v>
      </c>
      <c r="D33">
        <v>1.09E-3</v>
      </c>
      <c r="E33" t="s">
        <v>30</v>
      </c>
      <c r="G33" t="s">
        <v>185</v>
      </c>
      <c r="H33" t="s">
        <v>183</v>
      </c>
      <c r="L33">
        <v>0</v>
      </c>
    </row>
    <row r="34" spans="1:12" x14ac:dyDescent="0.2">
      <c r="A34" t="s">
        <v>17</v>
      </c>
      <c r="H34" t="s">
        <v>22</v>
      </c>
      <c r="L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housin</vt:lpstr>
      <vt:lpstr>30403007</vt:lpstr>
      <vt:lpstr>20603194</vt:lpstr>
      <vt:lpstr>20503168</vt:lpstr>
      <vt:lpstr>20405402</vt:lpstr>
      <vt:lpstr>20203354</vt:lpstr>
      <vt:lpstr>20102629</vt:lpstr>
      <vt:lpstr>30403006</vt:lpstr>
      <vt:lpstr>20603160</vt:lpstr>
      <vt:lpstr>20601106</vt:lpstr>
      <vt:lpstr>20503169</vt:lpstr>
      <vt:lpstr>20405376</vt:lpstr>
      <vt:lpstr>30403003</vt:lpstr>
      <vt:lpstr>20603159</vt:lpstr>
      <vt:lpstr>30403002</vt:lpstr>
      <vt:lpstr>20603169</vt:lpstr>
      <vt:lpstr>30403001</vt:lpstr>
      <vt:lpstr>20603168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Samay Jaissingh</dc:creator>
  <cp:lastModifiedBy>Samay Jaissingh</cp:lastModifiedBy>
  <dcterms:created xsi:type="dcterms:W3CDTF">2026-08-23T15:22:09Z</dcterms:created>
  <dcterms:modified xsi:type="dcterms:W3CDTF">2026-08-23T16:19:14Z</dcterms:modified>
</cp:coreProperties>
</file>